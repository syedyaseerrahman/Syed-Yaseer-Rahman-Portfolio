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1FB9D986-2C35-4C88-87CC-F070F7D87E9E}" xr6:coauthVersionLast="47" xr6:coauthVersionMax="47" xr10:uidLastSave="{00000000-0000-0000-0000-000000000000}"/>
  <bookViews>
    <workbookView xWindow="24" yWindow="504" windowWidth="23016" windowHeight="12456" firstSheet="1" activeTab="1" xr2:uid="{73226611-8421-4F7A-A7FF-2282780D488C}"/>
  </bookViews>
  <sheets>
    <sheet name="_CIQHiddenCacheSheet" sheetId="42" state="veryHidden" r:id="rId1"/>
    <sheet name="WALMART" sheetId="1" r:id="rId2"/>
    <sheet name="COSTCO" sheetId="19" r:id="rId3"/>
    <sheet name="ALIBABA" sheetId="22" r:id="rId4"/>
    <sheet name="CARREFOUR" sheetId="25" r:id="rId5"/>
    <sheet name="MAGAZINE LUIZA" sheetId="27" r:id="rId6"/>
  </sheets>
  <definedNames>
    <definedName name="_xleta.SQRT" hidden="1" xlm="1">#NAME?</definedName>
    <definedName name="CIQWBGuid" hidden="1">"0c54ce4f-3791-4126-87dd-ddffe492d7f5"</definedName>
    <definedName name="CIQWBInfo" hidden="1">"{ ""CIQVersion"":""9.51.3510.3078""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"02/25/2025 19:34:09"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solver_eng" localSheetId="3" hidden="1">1</definedName>
    <definedName name="solver_eng" localSheetId="4" hidden="1">1</definedName>
    <definedName name="solver_eng" localSheetId="2" hidden="1">1</definedName>
    <definedName name="solver_eng" localSheetId="5" hidden="1">1</definedName>
    <definedName name="solver_eng" localSheetId="1" hidden="1">1</definedName>
    <definedName name="solver_lhs1" localSheetId="3" hidden="1">ALIBABA!$B$141</definedName>
    <definedName name="solver_lhs1" localSheetId="4" hidden="1">CARREFOUR!$B$141</definedName>
    <definedName name="solver_lhs1" localSheetId="2" hidden="1">COSTCO!$B$141</definedName>
    <definedName name="solver_lhs1" localSheetId="5" hidden="1">'MAGAZINE LUIZA'!$B$141</definedName>
    <definedName name="solver_lhs1" localSheetId="1" hidden="1">WALMART!$B$141</definedName>
    <definedName name="solver_lhs2" localSheetId="3" hidden="1">ALIBABA!$B$142</definedName>
    <definedName name="solver_lhs2" localSheetId="4" hidden="1">CARREFOUR!$B$142</definedName>
    <definedName name="solver_lhs2" localSheetId="2" hidden="1">COSTCO!$B$142</definedName>
    <definedName name="solver_lhs2" localSheetId="5" hidden="1">'MAGAZINE LUIZA'!$B$142</definedName>
    <definedName name="solver_lhs2" localSheetId="1" hidden="1">WALMART!$B$142</definedName>
    <definedName name="solver_neg" localSheetId="3" hidden="1">1</definedName>
    <definedName name="solver_neg" localSheetId="4" hidden="1">1</definedName>
    <definedName name="solver_neg" localSheetId="2" hidden="1">1</definedName>
    <definedName name="solver_neg" localSheetId="5" hidden="1">1</definedName>
    <definedName name="solver_neg" localSheetId="1" hidden="1">1</definedName>
    <definedName name="solver_num" localSheetId="3" hidden="1">0</definedName>
    <definedName name="solver_num" localSheetId="4" hidden="1">0</definedName>
    <definedName name="solver_num" localSheetId="2" hidden="1">0</definedName>
    <definedName name="solver_num" localSheetId="5" hidden="1">0</definedName>
    <definedName name="solver_num" localSheetId="1" hidden="1">0</definedName>
    <definedName name="solver_rel1" localSheetId="3" hidden="1">2</definedName>
    <definedName name="solver_rel1" localSheetId="4" hidden="1">2</definedName>
    <definedName name="solver_rel1" localSheetId="2" hidden="1">2</definedName>
    <definedName name="solver_rel1" localSheetId="5" hidden="1">2</definedName>
    <definedName name="solver_rel1" localSheetId="1" hidden="1">2</definedName>
    <definedName name="solver_rel2" localSheetId="3" hidden="1">2</definedName>
    <definedName name="solver_rel2" localSheetId="4" hidden="1">2</definedName>
    <definedName name="solver_rel2" localSheetId="2" hidden="1">2</definedName>
    <definedName name="solver_rel2" localSheetId="5" hidden="1">2</definedName>
    <definedName name="solver_rel2" localSheetId="1" hidden="1">2</definedName>
    <definedName name="solver_rhs1" localSheetId="3" hidden="1">0</definedName>
    <definedName name="solver_rhs1" localSheetId="4" hidden="1">0</definedName>
    <definedName name="solver_rhs1" localSheetId="2" hidden="1">0</definedName>
    <definedName name="solver_rhs1" localSheetId="5" hidden="1">0</definedName>
    <definedName name="solver_rhs1" localSheetId="1" hidden="1">0</definedName>
    <definedName name="solver_rhs2" localSheetId="3" hidden="1">0</definedName>
    <definedName name="solver_rhs2" localSheetId="4" hidden="1">0</definedName>
    <definedName name="solver_rhs2" localSheetId="2" hidden="1">0</definedName>
    <definedName name="solver_rhs2" localSheetId="5" hidden="1">0</definedName>
    <definedName name="solver_rhs2" localSheetId="1" hidden="1">0</definedName>
    <definedName name="solver_typ" localSheetId="3" hidden="1">1</definedName>
    <definedName name="solver_typ" localSheetId="4" hidden="1">1</definedName>
    <definedName name="solver_typ" localSheetId="2" hidden="1">1</definedName>
    <definedName name="solver_typ" localSheetId="5" hidden="1">1</definedName>
    <definedName name="solver_typ" localSheetId="1" hidden="1">1</definedName>
    <definedName name="solver_val" localSheetId="3" hidden="1">0</definedName>
    <definedName name="solver_val" localSheetId="4" hidden="1">0</definedName>
    <definedName name="solver_val" localSheetId="2" hidden="1">0</definedName>
    <definedName name="solver_val" localSheetId="5" hidden="1">0</definedName>
    <definedName name="solver_val" localSheetId="1" hidden="1">0</definedName>
    <definedName name="solver_ver" localSheetId="3" hidden="1">3</definedName>
    <definedName name="solver_ver" localSheetId="4" hidden="1">3</definedName>
    <definedName name="solver_ver" localSheetId="2" hidden="1">3</definedName>
    <definedName name="solver_ver" localSheetId="5" hidden="1">3</definedName>
    <definedName name="solver_ver" localSheetId="1" hidden="1">3</definedName>
  </definedNames>
  <calcPr calcId="191029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0" i="27" l="1"/>
  <c r="C59" i="19"/>
  <c r="C84" i="1"/>
  <c r="C132" i="27"/>
  <c r="C106" i="25"/>
  <c r="C130" i="22"/>
  <c r="C82" i="19"/>
  <c r="C131" i="27"/>
  <c r="C108" i="25"/>
  <c r="C59" i="22"/>
  <c r="C84" i="19"/>
  <c r="C36" i="1"/>
  <c r="C106" i="27"/>
  <c r="C107" i="25"/>
  <c r="C82" i="22"/>
  <c r="C83" i="19"/>
  <c r="C35" i="1"/>
  <c r="C82" i="25"/>
  <c r="C84" i="22"/>
  <c r="C58" i="1"/>
  <c r="C83" i="22"/>
  <c r="C108" i="27"/>
  <c r="C36" i="19"/>
  <c r="C35" i="19"/>
  <c r="C60" i="1"/>
  <c r="C107" i="27"/>
  <c r="C84" i="25"/>
  <c r="C12" i="1"/>
  <c r="C82" i="27"/>
  <c r="C83" i="25"/>
  <c r="C36" i="22"/>
  <c r="C58" i="19"/>
  <c r="C10" i="1"/>
  <c r="C84" i="27"/>
  <c r="C58" i="25"/>
  <c r="C35" i="22"/>
  <c r="C60" i="19"/>
  <c r="C83" i="27"/>
  <c r="C60" i="25"/>
  <c r="C58" i="22"/>
  <c r="C10" i="19"/>
  <c r="C11" i="1"/>
  <c r="C34" i="1"/>
  <c r="C58" i="27"/>
  <c r="C59" i="25"/>
  <c r="C60" i="22"/>
  <c r="C12" i="19"/>
  <c r="C36" i="27"/>
  <c r="C131" i="1"/>
  <c r="C35" i="27"/>
  <c r="C60" i="27"/>
  <c r="C34" i="25"/>
  <c r="C10" i="22"/>
  <c r="C11" i="19"/>
  <c r="C10" i="25"/>
  <c r="C59" i="27"/>
  <c r="C36" i="25"/>
  <c r="C12" i="22"/>
  <c r="C34" i="19"/>
  <c r="C34" i="22"/>
  <c r="C12" i="25"/>
  <c r="C132" i="19"/>
  <c r="C106" i="1"/>
  <c r="C34" i="27"/>
  <c r="C35" i="25"/>
  <c r="C11" i="22"/>
  <c r="C132" i="1"/>
  <c r="C10" i="27"/>
  <c r="C11" i="25"/>
  <c r="C131" i="19"/>
  <c r="C108" i="1"/>
  <c r="C12" i="27"/>
  <c r="C132" i="22"/>
  <c r="C106" i="19"/>
  <c r="C107" i="1"/>
  <c r="C83" i="1"/>
  <c r="C11" i="27"/>
  <c r="C131" i="22"/>
  <c r="C108" i="19"/>
  <c r="C130" i="1"/>
  <c r="C130" i="25"/>
  <c r="C106" i="22"/>
  <c r="C107" i="19"/>
  <c r="C59" i="1"/>
  <c r="C132" i="25"/>
  <c r="C108" i="22"/>
  <c r="C130" i="19"/>
  <c r="C82" i="1"/>
  <c r="C131" i="25"/>
  <c r="C107" i="22"/>
  <c r="G106" i="22" l="1"/>
  <c r="G130" i="25"/>
  <c r="G106" i="19"/>
  <c r="G130" i="22"/>
  <c r="G10" i="27"/>
  <c r="G106" i="1"/>
  <c r="G130" i="1"/>
  <c r="G130" i="19"/>
  <c r="G10" i="25"/>
  <c r="G10" i="22"/>
  <c r="G34" i="25"/>
  <c r="G58" i="27"/>
  <c r="G34" i="27"/>
  <c r="G10" i="19"/>
  <c r="G58" i="22"/>
  <c r="G58" i="25"/>
  <c r="G58" i="19"/>
  <c r="G82" i="27"/>
  <c r="G34" i="22"/>
  <c r="G10" i="1"/>
  <c r="G82" i="25"/>
  <c r="G58" i="1"/>
  <c r="G34" i="19"/>
  <c r="G106" i="27"/>
  <c r="G82" i="22"/>
  <c r="G34" i="1"/>
  <c r="G82" i="19"/>
  <c r="G106" i="25"/>
  <c r="G130" i="27"/>
  <c r="G82" i="1"/>
  <c r="G131" i="19" l="1"/>
  <c r="G132" i="19"/>
  <c r="G83" i="27"/>
  <c r="G84" i="27"/>
  <c r="G107" i="19"/>
  <c r="G108" i="19"/>
  <c r="G11" i="25"/>
  <c r="G12" i="25"/>
  <c r="G36" i="19"/>
  <c r="G35" i="19"/>
  <c r="G59" i="27"/>
  <c r="G60" i="27"/>
  <c r="G107" i="27"/>
  <c r="G108" i="27"/>
  <c r="G59" i="1"/>
  <c r="G60" i="1"/>
  <c r="G131" i="25"/>
  <c r="G132" i="25"/>
  <c r="G84" i="1"/>
  <c r="G83" i="1"/>
  <c r="G131" i="27"/>
  <c r="G132" i="27"/>
  <c r="G83" i="22"/>
  <c r="G84" i="22"/>
  <c r="G107" i="22"/>
  <c r="G108" i="22"/>
  <c r="G60" i="19"/>
  <c r="G59" i="19"/>
  <c r="G84" i="25"/>
  <c r="G83" i="25"/>
  <c r="G107" i="1"/>
  <c r="G108" i="1"/>
  <c r="G36" i="1"/>
  <c r="G35" i="1"/>
  <c r="G12" i="1"/>
  <c r="G11" i="1"/>
  <c r="G35" i="25"/>
  <c r="G36" i="25"/>
  <c r="G11" i="27"/>
  <c r="G12" i="27"/>
  <c r="G11" i="22"/>
  <c r="G12" i="22"/>
  <c r="G131" i="22"/>
  <c r="G132" i="22"/>
  <c r="G11" i="19"/>
  <c r="G12" i="19"/>
  <c r="G35" i="27"/>
  <c r="G36" i="27"/>
  <c r="G132" i="1"/>
  <c r="G131" i="1"/>
  <c r="G60" i="22"/>
  <c r="G59" i="22"/>
  <c r="G59" i="25"/>
  <c r="G60" i="25"/>
  <c r="G83" i="19"/>
  <c r="G84" i="19"/>
  <c r="G107" i="25"/>
  <c r="G108" i="25"/>
  <c r="G35" i="22"/>
  <c r="G36" i="22"/>
  <c r="G14" i="27" l="1"/>
  <c r="B21" i="27" s="1"/>
  <c r="B23" i="27" s="1"/>
  <c r="B24" i="27" s="1"/>
  <c r="G15" i="27"/>
  <c r="B22" i="27" s="1"/>
  <c r="G95" i="1"/>
  <c r="G96" i="1"/>
  <c r="G85" i="1"/>
  <c r="G86" i="1" s="1"/>
  <c r="B93" i="1" s="1"/>
  <c r="B95" i="1" s="1"/>
  <c r="B96" i="1" s="1"/>
  <c r="G135" i="1"/>
  <c r="B142" i="1" s="1"/>
  <c r="G61" i="19"/>
  <c r="G62" i="19" s="1"/>
  <c r="B69" i="19" s="1"/>
  <c r="B71" i="19" s="1"/>
  <c r="B72" i="19" s="1"/>
  <c r="G72" i="19"/>
  <c r="G71" i="19"/>
  <c r="G15" i="19"/>
  <c r="B22" i="19" s="1"/>
  <c r="G14" i="22"/>
  <c r="B21" i="22" s="1"/>
  <c r="B23" i="22" s="1"/>
  <c r="B24" i="22" s="1"/>
  <c r="G15" i="22"/>
  <c r="B22" i="22" s="1"/>
  <c r="G39" i="22"/>
  <c r="B46" i="22" s="1"/>
  <c r="G37" i="22"/>
  <c r="G38" i="22" s="1"/>
  <c r="B45" i="22" s="1"/>
  <c r="B47" i="22" s="1"/>
  <c r="B48" i="22" s="1"/>
  <c r="G47" i="22"/>
  <c r="G48" i="22"/>
  <c r="G13" i="27"/>
  <c r="G24" i="27"/>
  <c r="G23" i="27"/>
  <c r="G87" i="1"/>
  <c r="B94" i="1" s="1"/>
  <c r="G39" i="25"/>
  <c r="B46" i="25" s="1"/>
  <c r="G135" i="25"/>
  <c r="B142" i="25" s="1"/>
  <c r="G109" i="25"/>
  <c r="G120" i="25"/>
  <c r="G119" i="25"/>
  <c r="G47" i="25"/>
  <c r="G48" i="25"/>
  <c r="G37" i="25"/>
  <c r="G38" i="25" s="1"/>
  <c r="B45" i="25" s="1"/>
  <c r="B47" i="25" s="1"/>
  <c r="B48" i="25" s="1"/>
  <c r="G133" i="25"/>
  <c r="G134" i="25" s="1"/>
  <c r="B141" i="25" s="1"/>
  <c r="B143" i="25" s="1"/>
  <c r="B144" i="25" s="1"/>
  <c r="G143" i="25"/>
  <c r="G144" i="25"/>
  <c r="G62" i="1"/>
  <c r="B69" i="1" s="1"/>
  <c r="B71" i="1" s="1"/>
  <c r="B72" i="1" s="1"/>
  <c r="G63" i="1"/>
  <c r="B70" i="1" s="1"/>
  <c r="G14" i="1"/>
  <c r="B21" i="1" s="1"/>
  <c r="G15" i="1"/>
  <c r="B22" i="1" s="1"/>
  <c r="G61" i="1"/>
  <c r="G72" i="1"/>
  <c r="G71" i="1"/>
  <c r="G134" i="22"/>
  <c r="B141" i="22" s="1"/>
  <c r="B143" i="22" s="1"/>
  <c r="B144" i="22" s="1"/>
  <c r="G135" i="22"/>
  <c r="B142" i="22" s="1"/>
  <c r="G87" i="19"/>
  <c r="B94" i="19" s="1"/>
  <c r="G85" i="19"/>
  <c r="G86" i="19" s="1"/>
  <c r="B93" i="19" s="1"/>
  <c r="B95" i="19" s="1"/>
  <c r="B96" i="19" s="1"/>
  <c r="G96" i="19"/>
  <c r="G95" i="19"/>
  <c r="G37" i="1"/>
  <c r="G48" i="1"/>
  <c r="G47" i="1"/>
  <c r="G111" i="27"/>
  <c r="B118" i="27" s="1"/>
  <c r="G38" i="1"/>
  <c r="B45" i="1" s="1"/>
  <c r="G39" i="1"/>
  <c r="B46" i="1" s="1"/>
  <c r="G119" i="27"/>
  <c r="G120" i="27"/>
  <c r="G109" i="27"/>
  <c r="G110" i="27" s="1"/>
  <c r="B117" i="27" s="1"/>
  <c r="B119" i="27" s="1"/>
  <c r="B120" i="27" s="1"/>
  <c r="G63" i="27"/>
  <c r="B70" i="27" s="1"/>
  <c r="G87" i="25"/>
  <c r="B94" i="25" s="1"/>
  <c r="G39" i="27"/>
  <c r="B46" i="27" s="1"/>
  <c r="G37" i="27"/>
  <c r="G38" i="27" s="1"/>
  <c r="B45" i="27" s="1"/>
  <c r="B47" i="27" s="1"/>
  <c r="B48" i="27" s="1"/>
  <c r="G47" i="27"/>
  <c r="G48" i="27"/>
  <c r="G110" i="25"/>
  <c r="B117" i="25" s="1"/>
  <c r="G111" i="25"/>
  <c r="B118" i="25" s="1"/>
  <c r="G13" i="1"/>
  <c r="G23" i="1"/>
  <c r="G24" i="1"/>
  <c r="G63" i="25"/>
  <c r="B70" i="25" s="1"/>
  <c r="G61" i="25"/>
  <c r="G62" i="25" s="1"/>
  <c r="B69" i="25" s="1"/>
  <c r="B71" i="25" s="1"/>
  <c r="B72" i="25" s="1"/>
  <c r="G71" i="25"/>
  <c r="G72" i="25"/>
  <c r="G71" i="22"/>
  <c r="G72" i="22"/>
  <c r="G61" i="22"/>
  <c r="G62" i="22"/>
  <c r="B69" i="22" s="1"/>
  <c r="G63" i="22"/>
  <c r="B70" i="22" s="1"/>
  <c r="G109" i="1"/>
  <c r="G119" i="1"/>
  <c r="G120" i="1"/>
  <c r="G71" i="27"/>
  <c r="G72" i="27"/>
  <c r="G61" i="27"/>
  <c r="G62" i="27" s="1"/>
  <c r="B69" i="27" s="1"/>
  <c r="B71" i="27" s="1"/>
  <c r="B72" i="27" s="1"/>
  <c r="G110" i="1"/>
  <c r="B117" i="1" s="1"/>
  <c r="G111" i="1"/>
  <c r="B118" i="1" s="1"/>
  <c r="G143" i="1"/>
  <c r="G144" i="1"/>
  <c r="G133" i="1"/>
  <c r="G134" i="1" s="1"/>
  <c r="B141" i="1" s="1"/>
  <c r="B143" i="1" s="1"/>
  <c r="B144" i="1" s="1"/>
  <c r="G95" i="25"/>
  <c r="G96" i="25"/>
  <c r="G85" i="25"/>
  <c r="G86" i="25" s="1"/>
  <c r="B93" i="25" s="1"/>
  <c r="B95" i="25" s="1"/>
  <c r="B96" i="25" s="1"/>
  <c r="G37" i="19"/>
  <c r="G38" i="19" s="1"/>
  <c r="B45" i="19" s="1"/>
  <c r="B47" i="19" s="1"/>
  <c r="B48" i="19" s="1"/>
  <c r="G47" i="19"/>
  <c r="G48" i="19"/>
  <c r="G39" i="19"/>
  <c r="B46" i="19" s="1"/>
  <c r="G14" i="25"/>
  <c r="B21" i="25" s="1"/>
  <c r="B23" i="25" s="1"/>
  <c r="B24" i="25" s="1"/>
  <c r="G15" i="25"/>
  <c r="B22" i="25" s="1"/>
  <c r="G63" i="19"/>
  <c r="B70" i="19" s="1"/>
  <c r="G13" i="25"/>
  <c r="G23" i="25"/>
  <c r="G24" i="25"/>
  <c r="G110" i="19"/>
  <c r="B117" i="19" s="1"/>
  <c r="G111" i="19"/>
  <c r="B118" i="19" s="1"/>
  <c r="G111" i="22"/>
  <c r="B118" i="22" s="1"/>
  <c r="G13" i="19"/>
  <c r="G14" i="19" s="1"/>
  <c r="B21" i="19" s="1"/>
  <c r="B23" i="19" s="1"/>
  <c r="B24" i="19" s="1"/>
  <c r="G23" i="19"/>
  <c r="G24" i="19"/>
  <c r="G109" i="22"/>
  <c r="G110" i="22" s="1"/>
  <c r="B117" i="22" s="1"/>
  <c r="B119" i="22" s="1"/>
  <c r="B120" i="22" s="1"/>
  <c r="G120" i="22"/>
  <c r="G119" i="22"/>
  <c r="G119" i="19"/>
  <c r="G120" i="19"/>
  <c r="G109" i="19"/>
  <c r="G87" i="27"/>
  <c r="B94" i="27" s="1"/>
  <c r="G87" i="22"/>
  <c r="B94" i="22" s="1"/>
  <c r="G143" i="22"/>
  <c r="G144" i="22"/>
  <c r="G133" i="22"/>
  <c r="G96" i="22"/>
  <c r="G85" i="22"/>
  <c r="G86" i="22" s="1"/>
  <c r="B93" i="22" s="1"/>
  <c r="B95" i="22" s="1"/>
  <c r="B96" i="22" s="1"/>
  <c r="G95" i="22"/>
  <c r="G85" i="27"/>
  <c r="G86" i="27" s="1"/>
  <c r="B93" i="27" s="1"/>
  <c r="B95" i="27" s="1"/>
  <c r="B96" i="27" s="1"/>
  <c r="G95" i="27"/>
  <c r="G96" i="27"/>
  <c r="G134" i="27"/>
  <c r="B141" i="27" s="1"/>
  <c r="G135" i="27"/>
  <c r="B142" i="27" s="1"/>
  <c r="G134" i="19"/>
  <c r="B141" i="19" s="1"/>
  <c r="G135" i="19"/>
  <c r="B142" i="19" s="1"/>
  <c r="G23" i="22"/>
  <c r="G24" i="22"/>
  <c r="G13" i="22"/>
  <c r="G133" i="27"/>
  <c r="G144" i="27"/>
  <c r="G143" i="27"/>
  <c r="G133" i="19"/>
  <c r="G143" i="19"/>
  <c r="G144" i="19"/>
  <c r="B23" i="1" l="1"/>
  <c r="B24" i="1" s="1"/>
  <c r="B47" i="1"/>
  <c r="B48" i="1" s="1"/>
  <c r="B143" i="27"/>
  <c r="B144" i="27" s="1"/>
  <c r="B119" i="1"/>
  <c r="B120" i="1" s="1"/>
  <c r="B119" i="25"/>
  <c r="B120" i="25" s="1"/>
  <c r="B119" i="19"/>
  <c r="B120" i="19" s="1"/>
  <c r="B143" i="19"/>
  <c r="B144" i="19" s="1"/>
  <c r="B71" i="22"/>
  <c r="B72" i="22" s="1"/>
</calcChain>
</file>

<file path=xl/sharedStrings.xml><?xml version="1.0" encoding="utf-8"?>
<sst xmlns="http://schemas.openxmlformats.org/spreadsheetml/2006/main" count="1095" uniqueCount="86">
  <si>
    <t>Identifier</t>
  </si>
  <si>
    <t>Year</t>
  </si>
  <si>
    <t>Year End</t>
  </si>
  <si>
    <t>Market Value of Firm's  Equity (m)</t>
  </si>
  <si>
    <t>Volatility of Firm's Equity</t>
  </si>
  <si>
    <t>Total Liabilities (m)</t>
  </si>
  <si>
    <t>Risk-free Rate</t>
  </si>
  <si>
    <t>Horizon (years)</t>
  </si>
  <si>
    <t>Datatype</t>
  </si>
  <si>
    <t>Data Source</t>
  </si>
  <si>
    <t>Value</t>
  </si>
  <si>
    <t xml:space="preserve">                                                                          Merton Model Inputs</t>
  </si>
  <si>
    <t xml:space="preserve">                                                                          Diagnostics</t>
  </si>
  <si>
    <t>Solver Variables</t>
  </si>
  <si>
    <t>Values</t>
  </si>
  <si>
    <t xml:space="preserve">Diff b/w actual and B-S of Equity </t>
  </si>
  <si>
    <t>Diff b/w actual and B-S of Equity - Vol.</t>
  </si>
  <si>
    <t>Sum of Square of 2 differences minimised via Excel Solver</t>
  </si>
  <si>
    <t>Reliability</t>
  </si>
  <si>
    <t>Black &amp; Scholes Input Data</t>
  </si>
  <si>
    <t>Variable</t>
  </si>
  <si>
    <t>d1</t>
  </si>
  <si>
    <t>d2</t>
  </si>
  <si>
    <t>N(d1)</t>
  </si>
  <si>
    <t>N(d2)</t>
  </si>
  <si>
    <t>BS Equity Value</t>
  </si>
  <si>
    <t>BS Equity Volatility</t>
  </si>
  <si>
    <t xml:space="preserve">                                        Outputs</t>
  </si>
  <si>
    <t>Implied Asset Value</t>
  </si>
  <si>
    <t>Implied Asset Volatility</t>
  </si>
  <si>
    <t>Distance to Default</t>
  </si>
  <si>
    <t>Default Probability (%)</t>
  </si>
  <si>
    <t xml:space="preserve">  </t>
  </si>
  <si>
    <t>31st January 2019</t>
  </si>
  <si>
    <t>31st January 2020</t>
  </si>
  <si>
    <t>31st January 2021</t>
  </si>
  <si>
    <t>31st January 2022</t>
  </si>
  <si>
    <t>31st January 2023</t>
  </si>
  <si>
    <t>31st January 2024</t>
  </si>
  <si>
    <t>1st September 2019</t>
  </si>
  <si>
    <t>30th August  2020</t>
  </si>
  <si>
    <t>29th August 2021</t>
  </si>
  <si>
    <t>28th August 2022</t>
  </si>
  <si>
    <t>3rd September 2023</t>
  </si>
  <si>
    <t>1st September 2024</t>
  </si>
  <si>
    <t>IQ_MARKETCAP</t>
  </si>
  <si>
    <t>IQ_PRICE_VOL_HIST_YR</t>
  </si>
  <si>
    <t>IQ_TOTAL_LIAB</t>
  </si>
  <si>
    <t>World Government Bonds</t>
  </si>
  <si>
    <t xml:space="preserve"> </t>
  </si>
  <si>
    <t>31st March 2019</t>
  </si>
  <si>
    <t>31st March 2020</t>
  </si>
  <si>
    <t>31st March 2021</t>
  </si>
  <si>
    <t>31st March 2022</t>
  </si>
  <si>
    <t>31st March 2023</t>
  </si>
  <si>
    <t>31st March 2024</t>
  </si>
  <si>
    <t>31st December 2019</t>
  </si>
  <si>
    <t>31st December 2020</t>
  </si>
  <si>
    <t>31st December 2021</t>
  </si>
  <si>
    <t>31st December 2022</t>
  </si>
  <si>
    <t>31st December 2023</t>
  </si>
  <si>
    <t>31st December 2024</t>
  </si>
  <si>
    <t>BOVESPA:MGLU3</t>
  </si>
  <si>
    <r>
      <t>*</t>
    </r>
    <r>
      <rPr>
        <i/>
        <sz val="11"/>
        <color theme="1"/>
        <rFont val="Aptos Narrow"/>
        <family val="2"/>
        <scheme val="minor"/>
      </rPr>
      <t>all values are in $bn unless stated otherwise</t>
    </r>
  </si>
  <si>
    <t>ENXTPA:CA</t>
  </si>
  <si>
    <t>NYSE:BABA</t>
  </si>
  <si>
    <t>NasdaqGS:COST</t>
  </si>
  <si>
    <t>NYSE:WMT</t>
  </si>
  <si>
    <t>BAABTANVU0QBSP////8BUFgAAAAkQ0lRLk5ZU0U6V01ULklRX01BUktFVENBUC4yOC8wMy8yMDE5AQAAAN/GBAACAAAADTI3ODczMi40MjM1MjEBBgAAAAUAAAABMQEAAAAKMTk1MTU0MTA0MQMAAAADMTYwAgAAAAYxMDAwNTQEAAAAATAHAAAACTMvMjgvMjAxOQf8oRl0+N0I1de4GXT43QgsQ0lRLk5ZU0U6V01ULklRX1BSSUNFX1ZPTF9ISVNUX1lSLjMxLzAxLzIwMTkBAAAA38YEAAIAAAAHMjUuMDg2NwBLI6IZdPjdCNXXuBl0+N0IJENJUS5OWVNFOldNVC5JUV9NQVJLRVRDQVAuMjAvMDMvMjAyMAEAAADfxgQAAgAAAA0zMjI3OTQuNjM0NzYzAQYAAAAFAAAAATEBAAAACjIwMjMyNTExNDUDAAAAAzE2MAIAAAAGMTAwMDU0BAAAAAEwBwAAAAkzLzIwLzIwMjBLI6IZdPjdCNXXuBl0+N0ILENJUS5OWVNFOldNVC5JUV9QUklDRV9WT0xfSElTVF9ZUi4zMS8wMS8yMDIwAQAAAN/GBAACAAAABzEzLjAxMDMASyOiGXT43QiSsLgZdPjdCCRDSVEuTllTRTpXTVQuSVFfTUFSS0VUQ0FQLjE5LzAzLzIwMjEBAAAA38YEAAIAAAANMzcxMTIxLjAyMjI4MgEGAAAABQAAAAExAQAAAAoyMDg1MTM0MDMyAwAAAAMxNjACAAAABjEwMDA1NAQAAAABMAcAAAAJMy8xOS8yMDIxSyOiGXT43QiSsLgZdPjdCCxDSVEuTllTRTpXTVQuSVFfUFJJQ0VfVk9MX0hJU1RfWVIuMzEvMDEvMjAyMQEAAADfxgQAAgAAAAcyNS4yMTI5</t>
  </si>
  <si>
    <t>AEsjohl0+N0IA025GXT43QgkQ0lRLk5ZU0U6V01ULklRX01BUktFVENBUC4xOC8wMy8yMDIyAQAAAN/GBAACAAAADTQwMDIxOC44MjkyNDIBBgAAAAUAAAABMQEAAAALLTIxMDc2ODYwMTADAAAAAzE2MAIAAAAGMTAwMDU0BAAAAAEwBwAAAAkzLzE4LzIwMjJLI6IZdPjdCCp0uRl0+N0ILENJUS5OWVNFOldNVC5JUV9QUklDRV9WT0xfSElTVF9ZUi4zMS8wMS8yMDIyAQAAAN/GBAACAAAABzE3LjgwNzgASyOiGXT43QgDTbkZdPjdCCRDSVEuTllTRTpXTVQuSVFfTUFSS0VUQ0FQLjE3LzAzLzIwMjMBAAAA38YEAAIAAAANMzc1Nzc0LjQzMTY2OQEGAAAABQAAAAExAQAAAAstMjA1NjcxODEzMAMAAAADMTYwAgAAAAYxMDAwNTQEAAAAATAHAAAACTMvMTcvMjAyM0sjohl0+N0I8SW5GXT43QgkQ0lRLk5ZU0U6V01ULklRX01BUktFVENBUC4xNS8wMy8yMDI0AQAAAN/GBAACAAAADTQ4ODk2Mi4zOTM1MzgBBgAAAAUAAAABMQEAAAALLTIwMDU5MzA5OTQDAAAAAzE2MAIAAAAGMTAwMDU0BAAAAAEwBwAAAAkzLzE1LzIwMjRLI6IZdPjdCANNuRl0+N0ILENJUS5OWVNFOldNVC5JUV9QUklDRV9WT0xfSElTVF9ZUi4zMS8wMS8yMDI0AQAAAN/GBAACAAAABzE0LjI0NTUASyOiGXT43Qjj/rgZdPjdCClDSVEuTkFTREFRR1M6Q09TVC5JUV9NQVJLRVRDQVAuMTEvMTAvMjAxOQEAAACRagEAAgAAAAgxMzA4MzIuNAEG</t>
  </si>
  <si>
    <t>AAAABQAAAAExAQAAAAoxOTg3MzgxMDEwAwAAAAMxNjACAAAABjEwMDA1NAQAAAABMAcAAAAKMTAvMTEvMjAxOUsjohl0+N0I1de4GXT43QgxQ0lRLk5BU0RBUUdTOkNPU1QuSVFfUFJJQ0VfVk9MX0hJU1RfWVIuMDEvMDkvMjAxOQEAAACRagEAAgAAAAcyMy4yOTE5AEsjohl0+N0I4/64GXT43QgpQ0lRLk5BU0RBUUdTOkNPU1QuSVFfTUFSS0VUQ0FQLjA3LzEwLzIwMjABAAAAkWoBAAIAAAANMTYwMTc0LjU5ODM2MgEGAAAABQAAAAExAQAAAAoyMDY0MjY5NjcyAwAAAAMxNjACAAAABjEwMDA1NAQAAAABMAcAAAAJMTAvNy8yMDIwSyOiGXT43Qjj/rgZdPjdCDFDSVEuTkFTREFRR1M6Q09TVC5JUV9QUklDRV9WT0xfSElTVF9ZUi4zMC8wOC8yMDIwAQAAAJFqAQACAAAABzI0Ljk0MjUASyOiGXT43QiSsLgZdPjdCClDSVEuTkFTREFRR1M6Q09TVC5JUV9NQVJLRVRDQVAuMDYvMTAvMjAyMQEAAACRagEAAgAAAA0xOTg1MjkuMTExMjM1AQYAAAAFAAAAATEBAAAACy0yMTI3NTE1Nzc3AwAAAAMxNjACAAAABjEwMDA1NAQAAAABMAcAAAAJMTAvNi8yMDIxSyOiGXT43QjV17gZdPjdCDFDSVEuTkFTREFRR1M6Q09TVC5JUV9QUklDRV9WT0xfSElTVF9ZUi4yOS8wOC8yMDIxAQAAAJFqAQACAAAABzE5Ljc1NDgASyOiGXT43QjCdbgZdPjdCClDSVEuTkFTREFRR1M6Q09TVC5JUV9NQVJLRVRDQVAuMDUvMTAvMjAy</t>
  </si>
  <si>
    <t>MgEAAACRagEAAgAAAA0yMTI1OTEuNjIyOTI2AQYAAAAFAAAAATEBAAAACy0yMDc1MzYxNzEzAwAAAAMxNjACAAAABjEwMDA1NAQAAAABMAcAAAAJMTAvNS8yMDIySyOiGXT43QjenLgZdPjdCDFDSVEuTkFTREFRR1M6Q09TVC5JUV9QUklDRV9WT0xfSElTVF9ZUi4yOC8wOC8yMDIyAQAAAJFqAQACAAAABzMyLjg0NDQASyOiGXT43QiSsLgZdPjdCClDSVEuTkFTREFRR1M6Q09TVC5JUV9NQVJLRVRDQVAuMTEvMTAvMjAyMwEAAACRagEAAgAAAA0yNTAzNzguNjQ4Mjc3AQYAAAAFAAAAATEBAAAACy0yMDI0MjI5Njg3AwAAAAMxNjACAAAABjEwMDA1NAQAAAABMAcAAAAKMTAvMTEvMjAyM0sjohl0+N0I8SW5GXT43QgxQ0lRLk5BU0RBUUdTOkNPU1QuSVFfUFJJQ0VfVk9MX0hJU1RfWVIuMDMvMDkvMjAyMwEAAACRagEAAgAAAAcyMy4yODgzAEsjohl0+N0IA025GXT43QgpQ0lRLk5BU0RBUUdTOkNPU1QuSVFfTUFSS0VUQ0FQLjA5LzEwLzIwMjQBAAAAkWoBAAIAAAANNDAyNzk4LjE1MjQ4NwEGAAAABQAAAAExAQAAAAstMTk3Mzk5Njg5NgMAAAADMTYwAgAAAAYxMDAwNTQEAAAAATAHAAAACTEwLzkvMjAyNEsjohl0+N0IKnS5GXT43QgxQ0lRLk5BU0RBUUdTOkNPU1QuSVFfUFJJQ0VfVk9MX0hJU1RfWVIuMDEvMDkvMjAyNAEAAACRagEAAgAAAAcxNi43NTU3AEsjohl0+N0I8SW5GXT43QgpQ0lRLk5ZU0U6</t>
  </si>
  <si>
    <t>QkFCQS5JUV9NQVJLRVRDQVAuMDUvMDYvMjAxOS5VU0QBAAAAESWCAgIAAAANMzk0ODI1LjU4MTI0MwEGAAAABQAAAAExAQAAAAoxOTY3NDc0MzUxAwAAAAMxNjACAAAABjEwMDA1NAQAAAABMAcAAAAINi81LzIwMTlLI6IZdPjdCOP+uBl0+N0ILUNJUS5OWVNFOkJBQkEuSVFfUFJJQ0VfVk9MX0hJU1RfWVIuMzEvMDMvMjAxOQEAAAARJYICAgAAAAYzMS4xMjYASyOiGXT43QjxJbkZdPjdCClDSVEuTllTRTpCQUJBLklRX01BUktFVENBUC4wOS8wNy8yMDIwLlVTRAEAAAARJYICAgAAAA03MDc0ODUuNzg3NTYyAQYAAAAFAAAAATEBAAAACjIwNDQ5NTgyNDcDAAAAAzE2MAIAAAAGMTAwMDU0BAAAAAEwBwAAAAg3LzkvMjAyMEsjohl0+N0I8SW5GXT43QgtQ0lRLk5ZU0U6QkFCQS5JUV9QUklDRV9WT0xfSElTVF9ZUi4zMS8wMy8yMDIwAQAAABElggICAAAABzMxLjcwNzIASyOiGXT43QjV17gZdPjdCClDSVEuTllTRTpCQUJBLklRX01BUktFVENBUC4yNy8wNy8yMDIxLlVTRAEAAAARJYICAgAAAA01MDU3NzEuNjEyNjc1AQYAAAAFAAAAATEBAAAACy0yMTQxNTE5ODAwAwAAAAMxNjACAAAABjEwMDA1NAQAAAABMAcAAAAJNy8yNy8yMDIxSyOiGXT43QjV17gZdPjdCC1DSVEuTllTRTpCQUJBLklRX1BSSUNFX1ZPTF9ISVNUX1lSLjMxLzAzLzIwMjEBAAAAESWCAgIAAAAHMzYuODc3NgBLI6IZdPjdCN6cuBl0</t>
  </si>
  <si>
    <t>+N0IKUNJUS5OWVNFOkJBQkEuSVFfTUFSS0VUQ0FQLjI2LzA3LzIwMjIuVVNEAQAAABElggICAAAADTI2ODYyNy4xNjM2NTgBBgAAAAUAAAABMQEAAAALLTIwODgxMDQxOTkDAAAAAzE2MAIAAAAGMTAwMDU0BAAAAAEwBwAAAAk3LzI2LzIwMjJLI6IZdPjdCJKwuBl0+N0ILUNJUS5OWVNFOkJBQkEuSVFfUFJJQ0VfVk9MX0hJU1RfWVIuMzEvMDMvMjAyMgEAAAARJYICAgAAAAc1My4yMzk2AEsjohl0+N0IkrC4GXT43QgpQ0lRLk5ZU0U6QkFCQS5JUV9NQVJLRVRDQVAuMjEvMDcvMjAyMy5VU0QBAAAAESWCAgIAAAANMjM0NzM2LjY5MDAxOAEGAAAABQAAAAExAQAAAAstMjAzNzU0Nzk1NwMAAAADMTYwAgAAAAYxMDAwNTQEAAAAATAHAAAACTcvMjEvMjAyM0sjohl0+N0IA025GXT43QgtQ0lRLk5ZU0U6QkFCQS5JUV9QUklDRV9WT0xfSElTVF9ZUi4zMS8wMy8yMDIzAQAAABElggICAAAABjYxLjEwNABLI6IZdPjdCCp0uRl0+N0IKUNJUS5OWVNFOkJBQkEuSVFfTUFSS0VUQ0FQLjIzLzA1LzIwMjQuVVNEAQAAABElggICAAAADTE5NTM4OS40MDI0NTkBBgAAAAUAAAABMQEAAAALLTE5OTI0NzUxMzEDAAAAAzE2MAIAAAAGMTAwMDU0BAAAAAEwBwAAAAk1LzIzLzIwMjRLI6IZdPjdCMJ1uBl0+N0ILUNJUS5OWVNFOkJBQkEuSVFfUFJJQ0VfVk9MX0hJU1RfWVIuMzEvMDMvMjAyNAEAAAARJYICAgAAAAczNC45</t>
  </si>
  <si>
    <t>MzI3AEsjohl0+N0IA025GXT43QgpQ0lRLkVOWFRQQTpDQS5JUV9NQVJLRVRDQVAuMjMvMDMvMjAyMC5VU0QBAAAA9mUBAAIAAAAQMTE2MDUuOTU5NDkwODc1NAEGAAAABQAAAAExAQAAAAoyMDI1NjY5NjkxAwAAAAMxNjACAAAABjEwMDA1NAQAAAABMAcAAAAJMy8yMy8yMDIwSyOiGXT43Qjj/rgZdPjdCC1DSVEuRU5YVFBBOkNBLklRX1BSSUNFX1ZPTF9ISVNUX1lSLjMxLzEyLzIwMTkBAAAA9mUBAAIAAAAHMTkuOTE4NQBLI6IZdPjdCPEluRl0+N0IKUNJUS5FTlhUUEE6Q0EuSVFfTUFSS0VUQ0FQLjA5LzA0LzIwMjEuVVNEAQAAAPZlAQACAAAAEDE0MjkwLjU2OTg5MTU2MjgBBgAAAAUAAAABMQEAAAAKMjA4ODUwNTY4NQMAAAADMTYwAgAAAAYxMDAwNTQEAAAAATAHAAAACDQvOS8yMDIxSyOiGXT43Qjj/rgZdPjdCC1DSVEuRU5YVFBBOkNBLklRX1BSSUNFX1ZPTF9ISVNUX1lSLjMxLzEyLzIwMjABAAAA9mUBAAIAAAAFMzAuMTEASyOiGXT43QjxJbkZdPjdCClDSVEuRU5YVFBBOkNBLklRX01BUktFVENBUC4xNy8wMy8yMDIyLlVTRAEAAAD2ZQEAAgAAABAxNTM5Ni4wNTgyNzQ0MTYyAQYAAAAFAAAAATEBAAAACy0yMTA3Nzg0NTc0AwAAAAMxNjACAAAABjEwMDA1NAQAAAABMAcAAAAJMy8xNy8yMDIySyOiGXT43QjV17gZdPjdCC1DSVEuRU5YVFBBOkNBLklRX1BSSUNFX1ZPTF9ISVNUX1lSLjMxLzEy</t>
  </si>
  <si>
    <t>LzIwMjEBAAAA9mUBAAIAAAAHMjcuOTEyNwBLI6IZdPjdCOP+uBl0+N0IKUNJUS5FTlhUUEE6Q0EuSVFfTUFSS0VUQ0FQLjA3LzAzLzIwMjMuVVNEAQAAAPZlAQACAAAAEDEzOTc2LjIzMDkxNzAzMTkBBgAAAAUAAAABMQEAAAALLTIwNTYyODE0ODIDAAAAAzE2MAIAAAAGMTAwMDU0BAAAAAEwBwAAAAgzLzcvMjAyM0sjohl0+N0IkrC4GXT43QgtQ0lRLkVOWFRQQTpDQS5JUV9QUklDRV9WT0xfSElTVF9ZUi4zMS8xMi8yMDIyAQAAAPZlAQACAAAABzI5LjI4MDcASyOiGXT43QjV17gZdPjdCClDSVEuRU5YVFBBOkNBLklRX01BUktFVENBUC4wNC8wMy8yMDI0LlVTRAEAAAD2ZQEAAgAAAA8xMTU4My40OTg3Njg1MzMBBgAAAAUAAAABMQEAAAALLTIwMDcwMTMyMjADAAAAAzE2MAIAAAAGMTAwMDU0BAAAAAEwBwAAAAgzLzQvMjAyNEsjohl0+N0IwnW4GXT43QgtQ0lRLkVOWFRQQTpDQS5JUV9QUklDRV9WT0xfSElTVF9ZUi4zMS8xMi8yMDIzAQAAAPZlAQACAAAABzI0LjAyODEASyOiGXT43QiSsLgZdPjdCClDSVEuRU5YVFBBOkNBLklRX01BUktFVENBUC4xOS8wMi8yMDI1LlVTRAEAAAD2ZQEAAgAAABA5MjEwLjQ1NDU2NDg3NzA4AQYAAAAFAAAAATEBAAAACy0xOTU4OTI2NTA0AwAAAAMxNjACAAAABjEwMDA1NAQAAAABMAcAAAAJMi8xOS8yMDI1SyOiGXT43QgDTbkZdPjdCC1DSVEuRU5YVFBBOkNBLklR</t>
  </si>
  <si>
    <t>X1BSSUNFX1ZPTF9ISVNUX1lSLjMxLzEyLzIwMjQBAAAA9mUBAAIAAAAGMjMuNzc1AEsjohl0+N0IKnS5GXT43QgtQ0lRLkJPVkVTUEE6TUdMVTMuSVFfTUFSS0VUQ0FQLjE3LzAyLzIwMjAuVVNEAQAAAKelVAACAAAAEDIyMDc4LjQ5MTY3NDI1NDgBBgAAAAUAAAABMQEAAAAKMjAxNDk5MTYxOAMAAAADMTYwAgAAAAYxMDAwNTQEAAAAATAHAAAACTIvMTcvMjAyMEsjohl0+N0I8SW5GXT43QgxQ0lRLkJPVkVTUEE6TUdMVTMuSVFfUFJJQ0VfVk9MX0hJU1RfWVIuMzEvMTIvMjAxOQEAAACnpVQAAgAAAAczNy4xMDk4AEsjohl0+N0IA025GXT43QgtQ0lRLkJPVkVTUEE6TUdMVTMuSVFfTUFSS0VUQ0FQLjA4LzAzLzIwMjEuVVNEAQAAAKelVAACAAAAEDI2MTIxLjMyMDQwMTY2MzQBBgAAAAUAAAABMQEAAAAKMjA4Mzc0MDA2MgMAAAADMTYwAgAAAAYxMDAwNTQEAAAAATAHAAAACDMvOC8yMDIxSyOiGXT43QjxJbkZdPjdCDFDSVEuQk9WRVNQQTpNR0xVMy5JUV9QUklDRV9WT0xfSElTVF9ZUi4zMS8xMi8yMDIwAQAAAKelVAACAAAABzYwLjEyNTUASyOiGXT43Qjj/rgZdPjdCC1DSVEuQk9WRVNQQTpNR0xVMy5JUV9NQVJLRVRDQVAuMTQvMDMvMjAyMi5VU0QBAAAAp6VUAAIAAAAQNjk3MS4zMTQ0NjE0MTAxOAEGAAAABQAAAAExAQAAAAstMjEwODQxOTMwMAMAAAADMTYwAgAAAAYxMDAwNTQEAAAAATAHAAAA</t>
  </si>
  <si>
    <t>CTMvMTQvMjAyMksjohl0+N0I1de4GXT43QgxQ0lRLkJPVkVTUEE6TUdMVTMuSVFfUFJJQ0VfVk9MX0hJU1RfWVIuMTQvMDMvMjAyMgEAAACnpVQAAgAAAAc1My42NjE0AEsjohl0+N0I4/64GXT43QgtQ0lRLkJPVkVTUEE6TUdMVTMuSVFfTUFSS0VUQ0FQLjIxLzAzLzIwMjMuVVNEAQAAAKelVAACAAAAEDQ3MTMuMzAzNTMyNTczMjQBBgAAAAUAAAABMQEAAAALLTIwNTYzOTM0OTUDAAAAAzE2MAIAAAAGMTAwMDU0BAAAAAEwBwAAAAkzLzIxLzIwMjNLI6IZdPjdCNXXuBl0+N0IMUNJUS5CT1ZFU1BBOk1HTFUzLklRX1BSSUNFX1ZPTF9ISVNUX1lSLjMxLzEyLzIwMjIBAAAAp6VUAAIAAAAHODUuODc1NgBLI6IZdPjdCNXXuBl0+N0ILUNJUS5CT1ZFU1BBOk1HTFUzLklRX01BUktFVENBUC4wMy8wNC8yMDI0LlVTRAEAAACnpVQAAgAAABAyNDQyLjkxNDk1MTQ0NjIzAQYAAAAFAAAAATEBAAAACy0yMDAyNzU4NzgxAwAAAAMxNjACAAAABjEwMDA1NAQAAAABMAcAAAAINC8zLzIwMjRLI6IZdPjdCN6cuBl0+N0IMUNJUS5CT1ZFU1BBOk1HTFUzLklRX1BSSUNFX1ZPTF9ISVNUX1lSLjMxLzEyLzIwMjMBAAAAp6VUAAIAAAAHNzAuODQyNgBLI6IZdPjdCJKwuBl0+N0ILUNJUS5CT1ZFU1BBOk1HTFUzLklRX01BUktFVENBUC4zMS8xMi8yMDI0LlVTRAEAAACnpVQAAgAAABA3NzMuNTYwMDMzMTA3ODM1AQYAAAAF</t>
  </si>
  <si>
    <t>AAAAATEBAAAACy0xOTY2OTAzNzQ1AwAAAAMxNjACAAAABjEwMDA1NAQAAAABMAcAAAAKMTIvMzEvMjAyNEsjohl0+N0IwnW4GXT43QgxQ0lRLkJPVkVTUEE6TUdMVTMuSVFfUFJJQ0VfVk9MX0hJU1RfWVIuMzEvMTIvMjAyNAEAAACnpVQAAgAAAAc0OS41NDM5AEsjohl0+N0I3py4GXT43QghQ0lRLk5ZU0U6V01ULklRX1RPVEFMX0xJQUIuRlkyMDE5AQAAAN/GBAACAAAABjEzOTY2MQEIAAAABQAAAAExAQAAAAoyMDg1MTMyOTMwAwAAAAMxNjACAAAABDEyNzYEAAAAATAHAAAACTkvMjAvMjAyNQgAAAAJMS8zMS8yMDE5CQAAAAEwSyOiGXT43QiSsLgZdPjdCCFDSVEuTllTRTpXTVQuSVFfVE9UQUxfTElBQi5GWTIwMjABAAAA38YEAAIAAAAGMTU0OTQzAQgAAAAFAAAAATEBAAAACy0yMTA3Njg2MjkxAwAAAAMxNjACAAAABDEyNzYEAAAAATAHAAAACTkvMjAvMjAyNQgAAAAJMS8zMS8yMDIwCQAAAAEwSyOiGXT43QjenLgZdPjdCCFDSVEuTllTRTpXTVQuSVFfVE9UQUxfTElBQi5GWTIwMjEBAAAA38YEAAIAAAAGMTY0OTY1AQgAAAAFAAAAATEBAAAACy0yMDU2NzE4ODA3AwAAAAMxNjACAAAABDEyNzYEAAAAATAHAAAACTkvMjAvMjAyNQgAAAAJMS8zMS8yMDIxCQAAAAEwSyOiGXT43QiSsLgZdPjdCCFDSVEuTllTRTpXTVQuSVFfVE9UQUxfTElBQi5GWTIwMjIBAAAA38YEAAIAAAAGMTUyOTY5AQgAAAAF</t>
  </si>
  <si>
    <t>AAAAATEBAAAACy0yMDA1OTMxNzY3AwAAAAMxNjACAAAABDEyNzYEAAAAATAHAAAACTkvMjAvMjAyNQgAAAAJMS8zMS8yMDIyCQAAAAEwSyOiGXT43QjxJbkZdPjdCBpDSVEuTllTRTpXTVQuSVFfVE9UQUxfTElBQgEAAADfxgQAAgAAAAYxNzM5ODABCAAAAAUAAAABMQEAAAALLTE5MjY4MDczNTIDAAAAAzE2MAIAAAAEMTI3NgQAAAABMAcAAAAJOS8yMC8yMDI1CAAAAAk3LzMxLzIwMjUJAAAAATBLI6IZdPjdCPEluRl0+N0IJkNJUS5OQVNEQVFHUzpDT1NULklRX1RPVEFMX0xJQUIuRlkyMDE5AQAAAJFqAQACAAAABTI5ODE2AQgAAAAFAAAAATEBAAAACy0yMTI3NTE2MDQxAwAAAAMxNjACAAAABDEyNzYEAAAAATAHAAAACTkvMjAvMjAyNQgAAAAIOS8xLzIwMTkJAAAAATBLI6IZdPjdCOP+uBl0+N0IJkNJUS5OQVNEQVFHUzpDT1NULklRX1RPVEFMX0xJQUIuRlkyMDIwAQAAAJFqAQACAAAABTM2ODUxAQgAAAAFAAAAATEBAAAACy0yMDc1MzYyODk0AwAAAAMxNjACAAAABDEyNzYEAAAAATAHAAAACTkvMjAvMjAyNQgAAAAJOC8zMC8yMDIwCQAAAAEwSyOiGXT43QiSsLgZdPjdCCZDSVEuTkFTREFRR1M6Q09TVC5JUV9UT1RBTF9MSUFCLkZZMjAyMQEAAACRagEAAgAAAAU0MTE5MAEIAAAABQAAAAExAQAAAAstMjAyNDIzMTM0OQMAAAADMTYwAgAAAAQxMjc2BAAAAAEwBwAAAAk5LzIwLzIwMjUIAAAACTgv</t>
  </si>
  <si>
    <t>MjkvMjAyMQkAAAABMEsjohl0+N0I1de4GXT43QgmQ0lRLk5BU0RBUUdTOkNPU1QuSVFfVE9UQUxfTElBQi5GWTIwMjIBAAAAkWoBAAIAAAAFNDM1MTkBCAAAAAUAAAABMQEAAAALLTE5NzM5OTcxOTIDAAAAAzE2MAIAAAAEMTI3NgQAAAABMAcAAAAJOS8yMC8yMDI1CAAAAAk4LzI4LzIwMjIJAAAAATBLI6IZdPjdCN6cuBl0+N0IJkNJUS5OQVNEQVFHUzpDT1NULklRX1RPVEFMX0xJQUIuRlkyMDIzAQAAAJFqAQACAAAABTQzOTM2AQgAAAAFAAAAATEBAAAACy0xOTczOTk3MTg3AwAAAAMxNjACAAAABDEyNzYEAAAAATAHAAAACTkvMjAvMjAyNQgAAAAIOS8zLzIwMjMJAAAAATBLI6IZdPjdCANNuRl0+N0IJkNJUS5OQVNEQVFHUzpDT1NULklRX1RPVEFMX0xJQUIuRlkyMDI0AQAAAJFqAQACAAAABTQ2MjA5AQgAAAAFAAAAATEBAAAACy0xOTczOTk3MTg0AwAAAAMxNjACAAAABDEyNzYEAAAAATAHAAAACTkvMjAvMjAyNQgAAAAIOS8xLzIwMjQJAAAAATBLI6IZdPjdCPEluRl0+N0IKUNJUS5OWVNFOkJBQkEuSVFfVE9UQUxfTElBQi5GWTIwMTkuLi4uVVNEAQAAABElggICAAAADDUzMTE1Ljk0ODY3OAEIAAAABQAAAAExAQAAAAstMjE0MTUyMDcyOAMAAAADMTYwAgAAAAQxMjc2BAAAAAEwBwAAAAk5LzIwLzIwMjUIAAAACTMvMzEvMjAxOQkAAAABMEsjohl0+N0I4/64GXT43QgpQ0lRLk5ZU0U6QkFCQS5J</t>
  </si>
  <si>
    <t>UV9UT1RBTF9MSUFCLkZZMjAyMC4uLi5VU0QBAAAAESWCAgIAAAAMNjExODguMDgyNDY5AQgAAAAFAAAAATEBAAAACy0yMDg4MTA1MTIzAwAAAAMxNjACAAAABDEyNzYEAAAAATAHAAAACTkvMjAvMjAyNQgAAAAJMy8zMS8yMDIwCQAAAAEwSyOiGXT43QjV17gZdPjdCClDSVEuTllTRTpCQUJBLklRX1RPVEFMX0xJQUIuRlkyMDIxLi4uLlVTRAEAAAARJYICAgAAAAw5MjU3MS40OTgxODkBCAAAAAUAAAABMQEAAAALLTIwMzc1NDgzMjEDAAAAAzE2MAIAAAAEMTI3NgQAAAABMAcAAAAJOS8yMC8yMDI1CAAAAAkzLzMxLzIwMjEJAAAAATBLI6IZdPjdCOP+uBl0+N0IKUNJUS5OWVNFOkJBQkEuSVFfVE9UQUxfTElBQi5GWTIwMjIuLi4uVVNEAQAAABElggICAAAADDk2NzQ2LjAwNTE1MgEIAAAABQAAAAExAQAAAAstMTk5MjQ3NTU3NwMAAAADMTYwAgAAAAQxMjc2BAAAAAEwBwAAAAk5LzIwLzIwMjUIAAAACTMvMzEvMjAyMgkAAAABMEsjohl0+N0IkrC4GXT43QgpQ0lRLk5ZU0U6QkFCQS5JUV9UT1RBTF9MSUFCLkZZMjAyMy4uLi5VU0QBAAAAESWCAgIAAAAMOTE3MzEuNjQyODE1AQgAAAAFAAAAATEBAAAACy0xOTMxNzM1MjgzAwAAAAMxNjACAAAABDEyNzYEAAAAATAHAAAACTkvMjAvMjAyNQgAAAAJMy8zMS8yMDIzCQAAAAEwSyOiGXT43QgqdLkZdPjdCClDSVEuTllTRTpCQUJBLklRX1RPVEFMX0xJQUIu</t>
  </si>
  <si>
    <t>RlkyMDI0Li4uLlVTRAEAAAARJYICAgAAAAw5MDMzMC4zMDk0NzgBCAAAAAUAAAABMQEAAAALLTE5MzE3MzUyOTIDAAAAAzE2MAIAAAAEMTI3NgQAAAABMAcAAAAJOS8yMC8yMDI1CAAAAAkzLzMxLzIwMjQJAAAAATBLI6IZdPjdCPEluRl0+N0IKUNJUS5FTlhUUEE6Q0EuSVFfVE9UQUxfTElBQi5GWTIwMTkuLi4uVVNEAQAAAPZlAQACAAAADDQ0NjUzLjc5ODY2MgEIAAAABQAAAAExAQAAAAoyMDg4NTA1Mjc0AwAAAAMxNjACAAAABDEyNzYEAAAAATAHAAAACTkvMjAvMjAyNQgAAAAKMTIvMzEvMjAxOQkAAAABMEsjohl0+N0I8SW5GXT43QgpQ0lRLkVOWFRQQTpDQS5JUV9UT1RBTF9MSUFCLkZZMjAyMC4uLi5VU0QBAAAA9mUBAAIAAAAMNDQwMDkuNzg1OTI1AQgAAAAFAAAAATEBAAAACy0yMTA3Nzg0OTA1AwAAAAMxNjACAAAABDEyNzYEAAAAATAHAAAACTkvMjAvMjAyNQgAAAAKMTIvMzEvMjAyMAkAAAABMEsjohl0+N0I4/64GXT43QgpQ0lRLkVOWFRQQTpDQS5JUV9UT1RBTF9MSUFCLkZZMjAyMS4uLi5VU0QBAAAA9mUBAAIAAAALNDA3NTcuNDIwNjkBCAAAAAUAAAABMQEAAAALLTIwNTYyODIwMzUDAAAAAzE2MAIAAAAEMTI3NgQAAAABMAcAAAAJOS8yMC8yMDI1CAAAAAoxMi8zMS8yMDIxCQAAAAEwSyOiGXT43QjV17gZdPjdCClDSVEuRU5YVFBBOkNBLklRX1RPVEFMX0xJQUIuRlkyMDIyLi4uLlVT</t>
  </si>
  <si>
    <t>RAEAAAD2ZQEAAgAAAAw0NjM1Mi40NjMzNzkBCAAAAAUAAAABMQEAAAALLTIwMDcwMTQ2MzQDAAAAAzE2MAIAAAAEMTI3NgQAAAABMAcAAAAJOS8yMC8yMDI1CAAAAAoxMi8zMS8yMDIyCQAAAAEwSyOiGXT43QiSsLgZdPjdCClDSVEuRU5YVFBBOkNBLklRX1RPVEFMX0xJQUIuRlkyMDIzLi4uLlVTRAEAAAD2ZQEAAgAAAAs0NzI5MC44MTQ2MgEIAAAABQAAAAExAQAAAAstMTk1MjgzMTIzNgMAAAADMTYwAgAAAAQxMjc2BAAAAAEwBwAAAAk5LzIwLzIwMjUIAAAACjEyLzMxLzIwMjMJAAAAATBLI6IZdPjdCN6cuBl0+N0IKUNJUS5FTlhUUEE6Q0EuSVFfVE9UQUxfTElBQi5GWTIwMjQuLi4uVVNEAQAAAPZlAQACAAAADDQ2NDYyLjM2NjcxOQEIAAAABQAAAAExAQAAAAstMTk1MjgzMTIzNwMAAAADMTYwAgAAAAQxMjc2BAAAAAEwBwAAAAk5LzIwLzIwMjUIAAAACjEyLzMxLzIwMjQJAAAAATBLI6IZdPjdCCp0uRl0+N0ILUNJUS5CT1ZFU1BBOk1HTFUzLklRX1RPVEFMX0xJQUIuRlkyMDE5Li4uLlVTRAEAAACnpVQAAgAAAAozMDQxLjYzMDAxAQgAAAAFAAAAATEBAAAACjIwODM3Mzk3MTgDAAAAAzE2MAIAAAAEMTI3NgQAAAABMAcAAAAJOS8yMC8yMDI1CAAAAAoxMi8zMS8yMDE5CQAAAAEwSyOiGXT43QjxJbkZdPjdCC1DSVEuQk9WRVNQQTpNR0xVMy5JUV9UT1RBTF9MSUFCLkZZMjAyMC4uLi5VU0QBAAAA</t>
  </si>
  <si>
    <t>p6VUAAIAAAALMzMzNS40OTk1MDEBCAAAAAUAAAABMQEAAAALLTIxMDg0MTk1ODUDAAAAAzE2MAIAAAAEMTI3NgQAAAABMAcAAAAJOS8yMC8yMDI1CAAAAAoxMi8zMS8yMDIwCQAAAAEwSyOiGXT43Qjj/rgZdPjdCC1DSVEuQk9WRVNQQTpNR0xVMy5JUV9UT1RBTF9MSUFCLkZZMjAyMS4uLi5VU0QBAAAAp6VUAAIAAAALNDg2OC4wNjI3MTkBCAAAAAUAAAABMQEAAAALLTIwNTYzOTY1MjgDAAAAAzE2MAIAAAAEMTI3NgQAAAABMAcAAAAJOS8yMC8yMDI1CAAAAAoxMi8zMS8yMDIxCQAAAAEwSyOiGXT43Qjj/rgZdPjdCC1DSVEuQk9WRVNQQTpNR0xVMy5JUV9UT1RBTF9MSUFCLkZZMjAyMi4uLi5VU0QBAAAAp6VUAAIAAAALNTEyOS40MTA5NzYBCAAAAAUAAAABMQEAAAALLTIwMDI3NjAwNTkDAAAAAzE2MAIAAAAEMTI3NgQAAAABMAcAAAAJOS8yMC8yMDI1CAAAAAoxMi8zMS8yMDIyCQAAAAEwSyOiGXT43QjV17gZdPjdCC1DSVEuQk9WRVNQQTpNR0xVMy5JUV9UT1RBTF9MSUFCLkZZMjAyMy4uLi5VU0QBAAAAp6VUAAIAAAALNTczOC40MTk1MjMBCAAAAAUAAAABMQEAAAALLTE5NTU4NTcwOTgDAAAAAzE2MAIAAAAEMTI3NgQAAAABMAcAAAAJOS8yMC8yMDI1CAAAAAoxMi8zMS8yMDIzCQAAAAEwSyOiGXT43QiSsLgZdPjdCCdDSVEuQk9WRVNQQTpNR0xVMy5JUV9UT1RBTF9MSUFCLi4uLi5VU0QBAAAAp6VU</t>
  </si>
  <si>
    <t>AAIAAAALNDc0MC4yMjM1MzQBCAAAAAUAAAABMQEAAAALLTE5MzI2NzcxNTYDAAAAAzE2MAIAAAAEMTI3NgQAAAABMAcAAAAJOS8yMC8yMDI1CAAAAAk2LzMwLzIwMjUJAAAAATBLI6IZdPjdCMJ1uBl0+N0I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</si>
</sst>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sz val="11"/>
      <color rgb="FFFFFF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41">
    <xf numFmtId="0" fontId="0" fillId="0" borderId="0" xfId="0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4" xfId="0" applyFont="1" applyFill="1" applyBorder="1"/>
    <xf numFmtId="0" fontId="1" fillId="2" borderId="7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4" fillId="3" borderId="4" xfId="0" applyFont="1" applyFill="1" applyBorder="1"/>
    <xf numFmtId="0" fontId="4" fillId="3" borderId="6" xfId="0" applyFont="1" applyFill="1" applyBorder="1"/>
    <xf numFmtId="0" fontId="1" fillId="3" borderId="4" xfId="0" applyFont="1" applyFill="1" applyBorder="1"/>
    <xf numFmtId="0" fontId="1" fillId="3" borderId="7" xfId="0" applyFont="1" applyFill="1" applyBorder="1"/>
    <xf numFmtId="0" fontId="2" fillId="4" borderId="0" xfId="0" applyFont="1" applyFill="1"/>
    <xf numFmtId="0" fontId="2" fillId="5" borderId="4" xfId="0" applyFont="1" applyFill="1" applyBorder="1"/>
    <xf numFmtId="0" fontId="2" fillId="5" borderId="5" xfId="0" applyFont="1" applyFill="1" applyBorder="1"/>
    <xf numFmtId="0" fontId="1" fillId="5" borderId="4" xfId="0" applyFont="1" applyFill="1" applyBorder="1"/>
    <xf numFmtId="0" fontId="0" fillId="5" borderId="5" xfId="0" applyFill="1" applyBorder="1"/>
    <xf numFmtId="0" fontId="1" fillId="5" borderId="7" xfId="0" applyFont="1" applyFill="1" applyBorder="1"/>
    <xf numFmtId="0" fontId="0" fillId="5" borderId="8" xfId="0" applyFill="1" applyBorder="1"/>
    <xf numFmtId="0" fontId="2" fillId="6" borderId="4" xfId="0" applyFont="1" applyFill="1" applyBorder="1"/>
    <xf numFmtId="0" fontId="0" fillId="6" borderId="6" xfId="0" applyFill="1" applyBorder="1"/>
    <xf numFmtId="0" fontId="2" fillId="6" borderId="7" xfId="0" applyFont="1" applyFill="1" applyBorder="1"/>
    <xf numFmtId="10" fontId="1" fillId="2" borderId="6" xfId="0" applyNumberFormat="1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43" fontId="0" fillId="5" borderId="5" xfId="1" applyFont="1" applyFill="1" applyBorder="1"/>
    <xf numFmtId="9" fontId="0" fillId="6" borderId="9" xfId="2" applyFont="1" applyFill="1" applyBorder="1"/>
    <xf numFmtId="0" fontId="9" fillId="4" borderId="0" xfId="0" applyFont="1" applyFill="1" applyAlignment="1">
      <alignment horizontal="center"/>
    </xf>
    <xf numFmtId="0" fontId="10" fillId="2" borderId="6" xfId="0" applyFont="1" applyFill="1" applyBorder="1"/>
    <xf numFmtId="0" fontId="0" fillId="0" borderId="0" xfId="0"/>
    <xf numFmtId="0" fontId="4" fillId="3" borderId="1" xfId="0" applyFont="1" applyFill="1" applyBorder="1"/>
    <xf numFmtId="0" fontId="5" fillId="3" borderId="3" xfId="0" applyFont="1" applyFill="1" applyBorder="1"/>
    <xf numFmtId="0" fontId="2" fillId="6" borderId="1" xfId="0" applyFont="1" applyFill="1" applyBorder="1"/>
    <xf numFmtId="0" fontId="0" fillId="6" borderId="3" xfId="0" applyFill="1" applyBorder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1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746760</xdr:colOff>
          <xdr:row>4</xdr:row>
          <xdr:rowOff>121920</xdr:rowOff>
        </xdr:from>
        <xdr:to>
          <xdr:col>5</xdr:col>
          <xdr:colOff>1234440</xdr:colOff>
          <xdr:row>5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4</xdr:row>
          <xdr:rowOff>106680</xdr:rowOff>
        </xdr:from>
        <xdr:to>
          <xdr:col>6</xdr:col>
          <xdr:colOff>815340</xdr:colOff>
          <xdr:row>5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4</xdr:row>
          <xdr:rowOff>129540</xdr:rowOff>
        </xdr:from>
        <xdr:to>
          <xdr:col>5</xdr:col>
          <xdr:colOff>929640</xdr:colOff>
          <xdr:row>5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4</xdr:row>
          <xdr:rowOff>121920</xdr:rowOff>
        </xdr:from>
        <xdr:to>
          <xdr:col>6</xdr:col>
          <xdr:colOff>541020</xdr:colOff>
          <xdr:row>5</xdr:row>
          <xdr:rowOff>160020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4</xdr:row>
          <xdr:rowOff>129540</xdr:rowOff>
        </xdr:from>
        <xdr:to>
          <xdr:col>5</xdr:col>
          <xdr:colOff>929640</xdr:colOff>
          <xdr:row>5</xdr:row>
          <xdr:rowOff>167640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4</xdr:row>
          <xdr:rowOff>121920</xdr:rowOff>
        </xdr:from>
        <xdr:to>
          <xdr:col>6</xdr:col>
          <xdr:colOff>541020</xdr:colOff>
          <xdr:row>5</xdr:row>
          <xdr:rowOff>160020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4</xdr:row>
          <xdr:rowOff>129540</xdr:rowOff>
        </xdr:from>
        <xdr:to>
          <xdr:col>5</xdr:col>
          <xdr:colOff>929640</xdr:colOff>
          <xdr:row>5</xdr:row>
          <xdr:rowOff>167640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4</xdr:row>
          <xdr:rowOff>121920</xdr:rowOff>
        </xdr:from>
        <xdr:to>
          <xdr:col>6</xdr:col>
          <xdr:colOff>541020</xdr:colOff>
          <xdr:row>5</xdr:row>
          <xdr:rowOff>160020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4</xdr:row>
          <xdr:rowOff>129540</xdr:rowOff>
        </xdr:from>
        <xdr:to>
          <xdr:col>5</xdr:col>
          <xdr:colOff>929640</xdr:colOff>
          <xdr:row>5</xdr:row>
          <xdr:rowOff>167640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4</xdr:row>
          <xdr:rowOff>121920</xdr:rowOff>
        </xdr:from>
        <xdr:to>
          <xdr:col>6</xdr:col>
          <xdr:colOff>541020</xdr:colOff>
          <xdr:row>5</xdr:row>
          <xdr:rowOff>160020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A0324-4FE5-4BC4-81BF-528AA567A584}">
  <dimension ref="A1:S1"/>
  <sheetViews>
    <sheetView workbookViewId="0"/>
  </sheetViews>
  <sheetFormatPr defaultRowHeight="14.4" x14ac:dyDescent="0.3"/>
  <sheetData>
    <row r="1" spans="1:19" x14ac:dyDescent="0.3">
      <c r="A1">
        <v>19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23CB3-0AE2-49C9-B2D7-C3C8E3CF9842}">
  <sheetPr codeName="Sheet2"/>
  <dimension ref="A1:J144"/>
  <sheetViews>
    <sheetView tabSelected="1" zoomScale="120" zoomScaleNormal="120" workbookViewId="0">
      <selection activeCell="G143" sqref="G143"/>
    </sheetView>
  </sheetViews>
  <sheetFormatPr defaultRowHeight="14.4" x14ac:dyDescent="0.3"/>
  <cols>
    <col min="1" max="1" width="49.21875" bestFit="1" customWidth="1"/>
    <col min="2" max="2" width="22.33203125" bestFit="1" customWidth="1"/>
    <col min="3" max="3" width="12" bestFit="1" customWidth="1"/>
    <col min="6" max="6" width="20.5546875" bestFit="1" customWidth="1"/>
    <col min="7" max="7" width="12" bestFit="1" customWidth="1"/>
  </cols>
  <sheetData>
    <row r="1" spans="1:8" x14ac:dyDescent="0.3">
      <c r="A1" s="14" t="s">
        <v>0</v>
      </c>
      <c r="B1" s="29" t="s">
        <v>67</v>
      </c>
      <c r="F1" s="31" t="s">
        <v>63</v>
      </c>
      <c r="G1" s="31"/>
      <c r="H1" s="31"/>
    </row>
    <row r="2" spans="1:8" x14ac:dyDescent="0.3">
      <c r="A2" s="14" t="s">
        <v>1</v>
      </c>
      <c r="B2" s="29">
        <v>2019</v>
      </c>
    </row>
    <row r="3" spans="1:8" x14ac:dyDescent="0.3">
      <c r="A3" s="14" t="s">
        <v>2</v>
      </c>
      <c r="B3" s="29" t="s">
        <v>33</v>
      </c>
    </row>
    <row r="8" spans="1:8" x14ac:dyDescent="0.3">
      <c r="A8" s="36" t="s">
        <v>11</v>
      </c>
      <c r="B8" s="37"/>
      <c r="C8" s="38"/>
      <c r="F8" s="39" t="s">
        <v>19</v>
      </c>
      <c r="G8" s="40"/>
    </row>
    <row r="9" spans="1:8" x14ac:dyDescent="0.3">
      <c r="A9" s="7" t="s">
        <v>8</v>
      </c>
      <c r="B9" s="8" t="s">
        <v>9</v>
      </c>
      <c r="C9" s="9" t="s">
        <v>10</v>
      </c>
      <c r="F9" s="15" t="s">
        <v>20</v>
      </c>
      <c r="G9" s="16" t="s">
        <v>10</v>
      </c>
    </row>
    <row r="10" spans="1:8" x14ac:dyDescent="0.3">
      <c r="A10" s="5" t="s">
        <v>3</v>
      </c>
      <c r="B10" s="1" t="s">
        <v>45</v>
      </c>
      <c r="C10" s="2">
        <f>_xll.ciqfunctions.udf.CIQ("NYSE:WMT", "IQ_MARKETCAP", "28/03/2019")/1000</f>
        <v>278.73242352</v>
      </c>
      <c r="F10" s="17" t="s">
        <v>21</v>
      </c>
      <c r="G10" s="27">
        <f>(LN(G21/C12)+((C13+(0.5*(G22^2)))*C14))/(G22*SQRT(C14))</f>
        <v>6.6954157612113017</v>
      </c>
    </row>
    <row r="11" spans="1:8" x14ac:dyDescent="0.3">
      <c r="A11" s="5" t="s">
        <v>4</v>
      </c>
      <c r="B11" s="1" t="s">
        <v>46</v>
      </c>
      <c r="C11" s="2">
        <f>_xll.ciqfunctions.udf.CIQ("NYSE:WMT", "IQ_PRICE_VOL_HIST_YR", "31/01/2019")/100</f>
        <v>0.25086700000000001</v>
      </c>
      <c r="F11" s="17" t="s">
        <v>22</v>
      </c>
      <c r="G11" s="27">
        <f>G10-(G22*SQRT(C14))</f>
        <v>6.5268724291771347</v>
      </c>
    </row>
    <row r="12" spans="1:8" x14ac:dyDescent="0.3">
      <c r="A12" s="5" t="s">
        <v>5</v>
      </c>
      <c r="B12" s="1" t="s">
        <v>47</v>
      </c>
      <c r="C12" s="2">
        <f>_xll.ciqfunctions.udf.CIQ("NYSE:WMT", "IQ_TOTAL_LIAB", "FY2019")/1000</f>
        <v>139.661</v>
      </c>
      <c r="F12" s="17" t="s">
        <v>23</v>
      </c>
      <c r="G12" s="18">
        <f>NORMSDIST(G10)</f>
        <v>0.99999999998924705</v>
      </c>
    </row>
    <row r="13" spans="1:8" x14ac:dyDescent="0.3">
      <c r="A13" s="5" t="s">
        <v>6</v>
      </c>
      <c r="B13" s="1" t="s">
        <v>48</v>
      </c>
      <c r="C13" s="24">
        <v>2.5499999999999998E-2</v>
      </c>
      <c r="F13" s="17" t="s">
        <v>24</v>
      </c>
      <c r="G13" s="18">
        <f>NORMSDIST(G11)</f>
        <v>0.99999999996642142</v>
      </c>
    </row>
    <row r="14" spans="1:8" x14ac:dyDescent="0.3">
      <c r="A14" s="6" t="s">
        <v>7</v>
      </c>
      <c r="B14" s="3"/>
      <c r="C14" s="4">
        <v>1</v>
      </c>
      <c r="F14" s="17" t="s">
        <v>25</v>
      </c>
      <c r="G14" s="18">
        <f>(G21*G12)-(C12*G13*(EXP(-C13*C14)))</f>
        <v>278.73242351999988</v>
      </c>
    </row>
    <row r="15" spans="1:8" x14ac:dyDescent="0.3">
      <c r="F15" s="19" t="s">
        <v>26</v>
      </c>
      <c r="G15" s="20">
        <f>(G21/C10)*G22*G12</f>
        <v>0.25086700194722922</v>
      </c>
    </row>
    <row r="19" spans="1:10" x14ac:dyDescent="0.3">
      <c r="A19" s="32" t="s">
        <v>12</v>
      </c>
      <c r="B19" s="33"/>
    </row>
    <row r="20" spans="1:10" x14ac:dyDescent="0.3">
      <c r="A20" s="10" t="s">
        <v>13</v>
      </c>
      <c r="B20" s="11" t="s">
        <v>14</v>
      </c>
      <c r="F20" s="34" t="s">
        <v>27</v>
      </c>
      <c r="G20" s="35"/>
      <c r="J20" t="s">
        <v>32</v>
      </c>
    </row>
    <row r="21" spans="1:10" x14ac:dyDescent="0.3">
      <c r="A21" s="12" t="s">
        <v>15</v>
      </c>
      <c r="B21" s="25">
        <f>C10-G14</f>
        <v>0</v>
      </c>
      <c r="F21" s="21" t="s">
        <v>28</v>
      </c>
      <c r="G21" s="22">
        <v>414.87709178862383</v>
      </c>
    </row>
    <row r="22" spans="1:10" x14ac:dyDescent="0.3">
      <c r="A22" s="12" t="s">
        <v>16</v>
      </c>
      <c r="B22" s="25">
        <f>C11-G15</f>
        <v>-1.9472292112077128E-9</v>
      </c>
      <c r="F22" s="21" t="s">
        <v>29</v>
      </c>
      <c r="G22" s="22">
        <v>0.16854333203416713</v>
      </c>
    </row>
    <row r="23" spans="1:10" x14ac:dyDescent="0.3">
      <c r="A23" s="12" t="s">
        <v>17</v>
      </c>
      <c r="B23" s="25">
        <f>(B21^2)+(B22^2)</f>
        <v>3.7917016009806112E-18</v>
      </c>
      <c r="F23" s="21" t="s">
        <v>30</v>
      </c>
      <c r="G23" s="22">
        <f>G11</f>
        <v>6.5268724291771347</v>
      </c>
    </row>
    <row r="24" spans="1:10" x14ac:dyDescent="0.3">
      <c r="A24" s="13" t="s">
        <v>18</v>
      </c>
      <c r="B24" s="26" t="str">
        <f>IF(B23&lt;0.01,"YES","NO")</f>
        <v>YES</v>
      </c>
      <c r="F24" s="23" t="s">
        <v>31</v>
      </c>
      <c r="G24" s="28">
        <f>NORMSDIST(-G11)</f>
        <v>3.3578598999294616E-11</v>
      </c>
    </row>
    <row r="28" spans="1:10" x14ac:dyDescent="0.3">
      <c r="A28" s="14" t="s">
        <v>0</v>
      </c>
      <c r="B28" s="29" t="s">
        <v>67</v>
      </c>
    </row>
    <row r="29" spans="1:10" x14ac:dyDescent="0.3">
      <c r="A29" s="14" t="s">
        <v>1</v>
      </c>
      <c r="B29" s="29">
        <v>2020</v>
      </c>
    </row>
    <row r="30" spans="1:10" x14ac:dyDescent="0.3">
      <c r="A30" s="14" t="s">
        <v>2</v>
      </c>
      <c r="B30" s="29" t="s">
        <v>34</v>
      </c>
    </row>
    <row r="32" spans="1:10" x14ac:dyDescent="0.3">
      <c r="A32" s="36" t="s">
        <v>11</v>
      </c>
      <c r="B32" s="37"/>
      <c r="C32" s="38"/>
      <c r="F32" s="39" t="s">
        <v>19</v>
      </c>
      <c r="G32" s="40"/>
    </row>
    <row r="33" spans="1:7" x14ac:dyDescent="0.3">
      <c r="A33" s="7" t="s">
        <v>8</v>
      </c>
      <c r="B33" s="8" t="s">
        <v>9</v>
      </c>
      <c r="C33" s="9" t="s">
        <v>10</v>
      </c>
      <c r="F33" s="15" t="s">
        <v>20</v>
      </c>
      <c r="G33" s="16" t="s">
        <v>10</v>
      </c>
    </row>
    <row r="34" spans="1:7" x14ac:dyDescent="0.3">
      <c r="A34" s="5" t="s">
        <v>3</v>
      </c>
      <c r="B34" s="1"/>
      <c r="C34" s="2">
        <f>_xll.ciqfunctions.udf.CIQ("NYSE:WMT", "IQ_MARKETCAP", "20/03/2020")/1000</f>
        <v>322.79463476000001</v>
      </c>
      <c r="F34" s="17" t="s">
        <v>21</v>
      </c>
      <c r="G34" s="27">
        <f>(LN(G45/C36)+((C37+(0.5*(G46^2)))*C38))/(G46*SQRT(C38))</f>
        <v>12.904210713639028</v>
      </c>
    </row>
    <row r="35" spans="1:7" x14ac:dyDescent="0.3">
      <c r="A35" s="5" t="s">
        <v>4</v>
      </c>
      <c r="B35" s="1"/>
      <c r="C35" s="2">
        <f>_xll.ciqfunctions.udf.CIQ("NYSE:WMT", "IQ_PRICE_VOL_HIST_YR", "31/01/2020")/100</f>
        <v>0.130103</v>
      </c>
      <c r="F35" s="17" t="s">
        <v>22</v>
      </c>
      <c r="G35" s="27">
        <f>G34-(G46*SQRT(C38))</f>
        <v>12.815894061537891</v>
      </c>
    </row>
    <row r="36" spans="1:7" x14ac:dyDescent="0.3">
      <c r="A36" s="5" t="s">
        <v>5</v>
      </c>
      <c r="B36" s="1"/>
      <c r="C36" s="2">
        <f>_xll.ciqfunctions.udf.CIQ("NYSE:WMT", "IQ_TOTAL_LIAB", "FY2020")/1000</f>
        <v>154.94300000000001</v>
      </c>
      <c r="F36" s="17" t="s">
        <v>23</v>
      </c>
      <c r="G36" s="18">
        <f>NORMSDIST(G34)</f>
        <v>1</v>
      </c>
    </row>
    <row r="37" spans="1:7" x14ac:dyDescent="0.3">
      <c r="A37" s="5" t="s">
        <v>6</v>
      </c>
      <c r="B37" s="1"/>
      <c r="C37" s="24">
        <v>1.44E-2</v>
      </c>
      <c r="F37" s="17" t="s">
        <v>24</v>
      </c>
      <c r="G37" s="18">
        <f>NORMSDIST(G35)</f>
        <v>1</v>
      </c>
    </row>
    <row r="38" spans="1:7" x14ac:dyDescent="0.3">
      <c r="A38" s="6" t="s">
        <v>7</v>
      </c>
      <c r="B38" s="3"/>
      <c r="C38" s="4">
        <v>1</v>
      </c>
      <c r="F38" s="17" t="s">
        <v>25</v>
      </c>
      <c r="G38" s="18">
        <f>(G45*G36)-(C36*G37*(EXP(-C37*C38)))</f>
        <v>322.79463476000001</v>
      </c>
    </row>
    <row r="39" spans="1:7" x14ac:dyDescent="0.3">
      <c r="F39" s="19" t="s">
        <v>26</v>
      </c>
      <c r="G39" s="20">
        <f>(G45/C34)*G46*G36</f>
        <v>0.13010299943536971</v>
      </c>
    </row>
    <row r="43" spans="1:7" x14ac:dyDescent="0.3">
      <c r="A43" s="32" t="s">
        <v>12</v>
      </c>
      <c r="B43" s="33"/>
    </row>
    <row r="44" spans="1:7" x14ac:dyDescent="0.3">
      <c r="A44" s="10" t="s">
        <v>13</v>
      </c>
      <c r="B44" s="11" t="s">
        <v>14</v>
      </c>
      <c r="F44" s="34" t="s">
        <v>27</v>
      </c>
      <c r="G44" s="35"/>
    </row>
    <row r="45" spans="1:7" x14ac:dyDescent="0.3">
      <c r="A45" s="12" t="s">
        <v>15</v>
      </c>
      <c r="B45" s="25">
        <f>C34-G38</f>
        <v>0</v>
      </c>
      <c r="F45" s="21" t="s">
        <v>28</v>
      </c>
      <c r="G45" s="22">
        <v>475.52244321748373</v>
      </c>
    </row>
    <row r="46" spans="1:7" x14ac:dyDescent="0.3">
      <c r="A46" s="12" t="s">
        <v>16</v>
      </c>
      <c r="B46" s="25">
        <f>C35-G39</f>
        <v>5.6463028696995821E-10</v>
      </c>
      <c r="F46" s="21" t="s">
        <v>29</v>
      </c>
      <c r="G46" s="22">
        <v>8.8316652101135873E-2</v>
      </c>
    </row>
    <row r="47" spans="1:7" x14ac:dyDescent="0.3">
      <c r="A47" s="12" t="s">
        <v>17</v>
      </c>
      <c r="B47" s="25">
        <f>(B45^2)+(B46^2)</f>
        <v>3.1880736096377736E-19</v>
      </c>
      <c r="F47" s="21" t="s">
        <v>30</v>
      </c>
      <c r="G47" s="22">
        <f>G35</f>
        <v>12.815894061537891</v>
      </c>
    </row>
    <row r="48" spans="1:7" x14ac:dyDescent="0.3">
      <c r="A48" s="13" t="s">
        <v>18</v>
      </c>
      <c r="B48" s="26" t="str">
        <f>IF(B47&lt;0.01,"YES","NO")</f>
        <v>YES</v>
      </c>
      <c r="F48" s="23" t="s">
        <v>31</v>
      </c>
      <c r="G48" s="28">
        <f>NORMSDIST(-G35)</f>
        <v>6.679480363044523E-38</v>
      </c>
    </row>
    <row r="52" spans="1:7" x14ac:dyDescent="0.3">
      <c r="A52" s="14" t="s">
        <v>0</v>
      </c>
      <c r="B52" s="29" t="s">
        <v>67</v>
      </c>
    </row>
    <row r="53" spans="1:7" x14ac:dyDescent="0.3">
      <c r="A53" s="14" t="s">
        <v>1</v>
      </c>
      <c r="B53" s="29">
        <v>2021</v>
      </c>
    </row>
    <row r="54" spans="1:7" x14ac:dyDescent="0.3">
      <c r="A54" s="14" t="s">
        <v>2</v>
      </c>
      <c r="B54" s="29" t="s">
        <v>35</v>
      </c>
    </row>
    <row r="56" spans="1:7" x14ac:dyDescent="0.3">
      <c r="A56" s="36" t="s">
        <v>11</v>
      </c>
      <c r="B56" s="37"/>
      <c r="C56" s="38"/>
      <c r="F56" s="39" t="s">
        <v>19</v>
      </c>
      <c r="G56" s="40"/>
    </row>
    <row r="57" spans="1:7" x14ac:dyDescent="0.3">
      <c r="A57" s="7" t="s">
        <v>8</v>
      </c>
      <c r="B57" s="8" t="s">
        <v>9</v>
      </c>
      <c r="C57" s="9" t="s">
        <v>10</v>
      </c>
      <c r="F57" s="15" t="s">
        <v>20</v>
      </c>
      <c r="G57" s="16" t="s">
        <v>10</v>
      </c>
    </row>
    <row r="58" spans="1:7" x14ac:dyDescent="0.3">
      <c r="A58" s="5" t="s">
        <v>3</v>
      </c>
      <c r="B58" s="1"/>
      <c r="C58" s="2">
        <f>_xll.ciqfunctions.udf.CIQ("NYSE:WMT", "IQ_MARKETCAP", "19/03/2021")/1000</f>
        <v>371.12102227999998</v>
      </c>
      <c r="F58" s="17" t="s">
        <v>21</v>
      </c>
      <c r="G58" s="27">
        <f>(LN(G69/C60)+((C61+(0.5*(G70^2)))*C62))/(G70*SQRT(C62))</f>
        <v>6.8414342361741554</v>
      </c>
    </row>
    <row r="59" spans="1:7" x14ac:dyDescent="0.3">
      <c r="A59" s="5" t="s">
        <v>4</v>
      </c>
      <c r="B59" s="1"/>
      <c r="C59" s="2">
        <f>_xll.ciqfunctions.udf.CIQ("NYSE:WMT", "IQ_PRICE_VOL_HIST_YR", "31/01/2021")/100</f>
        <v>0.25212899999999999</v>
      </c>
      <c r="F59" s="17" t="s">
        <v>22</v>
      </c>
      <c r="G59" s="27">
        <f>G58-(G70*SQRT(C62))</f>
        <v>6.6668369578457725</v>
      </c>
    </row>
    <row r="60" spans="1:7" x14ac:dyDescent="0.3">
      <c r="A60" s="5" t="s">
        <v>5</v>
      </c>
      <c r="B60" s="1"/>
      <c r="C60" s="2">
        <f>_xll.ciqfunctions.udf.CIQ("NYSE:WMT", "IQ_TOTAL_LIAB", "FY2021")/1000</f>
        <v>164.965</v>
      </c>
      <c r="F60" s="17" t="s">
        <v>23</v>
      </c>
      <c r="G60" s="18">
        <f>NORMSDIST(G58)</f>
        <v>0.9999999999960798</v>
      </c>
    </row>
    <row r="61" spans="1:7" x14ac:dyDescent="0.3">
      <c r="A61" s="5" t="s">
        <v>6</v>
      </c>
      <c r="B61" s="1"/>
      <c r="C61" s="24">
        <v>1E-3</v>
      </c>
      <c r="F61" s="17" t="s">
        <v>24</v>
      </c>
      <c r="G61" s="18">
        <f>NORMSDIST(G59)</f>
        <v>0.99999999998693123</v>
      </c>
    </row>
    <row r="62" spans="1:7" x14ac:dyDescent="0.3">
      <c r="A62" s="6" t="s">
        <v>7</v>
      </c>
      <c r="B62" s="3"/>
      <c r="C62" s="4">
        <v>1</v>
      </c>
      <c r="F62" s="17" t="s">
        <v>25</v>
      </c>
      <c r="G62" s="18">
        <f>(G69*G60)-(C60*G61*(EXP(-C61*C62)))</f>
        <v>371.1210222800002</v>
      </c>
    </row>
    <row r="63" spans="1:7" x14ac:dyDescent="0.3">
      <c r="F63" s="19" t="s">
        <v>26</v>
      </c>
      <c r="G63" s="20">
        <f>(G69/C58)*G70*G60</f>
        <v>0.25212900045690795</v>
      </c>
    </row>
    <row r="67" spans="1:7" x14ac:dyDescent="0.3">
      <c r="A67" s="32" t="s">
        <v>12</v>
      </c>
      <c r="B67" s="33"/>
    </row>
    <row r="68" spans="1:7" x14ac:dyDescent="0.3">
      <c r="A68" s="10" t="s">
        <v>13</v>
      </c>
      <c r="B68" s="11" t="s">
        <v>14</v>
      </c>
      <c r="F68" s="34" t="s">
        <v>27</v>
      </c>
      <c r="G68" s="35"/>
    </row>
    <row r="69" spans="1:7" x14ac:dyDescent="0.3">
      <c r="A69" s="12" t="s">
        <v>15</v>
      </c>
      <c r="B69" s="25">
        <f>C58-G62</f>
        <v>0</v>
      </c>
      <c r="F69" s="21" t="s">
        <v>28</v>
      </c>
      <c r="G69" s="22">
        <v>535.92113973496009</v>
      </c>
    </row>
    <row r="70" spans="1:7" x14ac:dyDescent="0.3">
      <c r="A70" s="12" t="s">
        <v>16</v>
      </c>
      <c r="B70" s="25">
        <f>C59-G63</f>
        <v>-4.5690795591468714E-10</v>
      </c>
      <c r="F70" s="21" t="s">
        <v>29</v>
      </c>
      <c r="G70" s="22">
        <v>0.17459727832838301</v>
      </c>
    </row>
    <row r="71" spans="1:7" x14ac:dyDescent="0.3">
      <c r="A71" s="12" t="s">
        <v>17</v>
      </c>
      <c r="B71" s="25">
        <f>(B69^2)+(B70^2)</f>
        <v>2.0876488017813768E-19</v>
      </c>
      <c r="F71" s="21" t="s">
        <v>30</v>
      </c>
      <c r="G71" s="22">
        <f>G59</f>
        <v>6.6668369578457725</v>
      </c>
    </row>
    <row r="72" spans="1:7" x14ac:dyDescent="0.3">
      <c r="A72" s="13" t="s">
        <v>18</v>
      </c>
      <c r="B72" s="26" t="str">
        <f>IF(B71&lt;0.01,"YES","NO")</f>
        <v>YES</v>
      </c>
      <c r="F72" s="23" t="s">
        <v>31</v>
      </c>
      <c r="G72" s="28">
        <f>NORMSDIST(-G59)</f>
        <v>1.3068758819468147E-11</v>
      </c>
    </row>
    <row r="76" spans="1:7" x14ac:dyDescent="0.3">
      <c r="A76" s="14" t="s">
        <v>0</v>
      </c>
      <c r="B76" s="29" t="s">
        <v>67</v>
      </c>
    </row>
    <row r="77" spans="1:7" x14ac:dyDescent="0.3">
      <c r="A77" s="14" t="s">
        <v>1</v>
      </c>
      <c r="B77" s="29">
        <v>2022</v>
      </c>
    </row>
    <row r="78" spans="1:7" x14ac:dyDescent="0.3">
      <c r="A78" s="14" t="s">
        <v>2</v>
      </c>
      <c r="B78" s="29" t="s">
        <v>36</v>
      </c>
    </row>
    <row r="80" spans="1:7" x14ac:dyDescent="0.3">
      <c r="A80" s="36" t="s">
        <v>11</v>
      </c>
      <c r="B80" s="37"/>
      <c r="C80" s="38"/>
      <c r="F80" s="39" t="s">
        <v>19</v>
      </c>
      <c r="G80" s="40"/>
    </row>
    <row r="81" spans="1:7" x14ac:dyDescent="0.3">
      <c r="A81" s="7" t="s">
        <v>8</v>
      </c>
      <c r="B81" s="8" t="s">
        <v>9</v>
      </c>
      <c r="C81" s="9" t="s">
        <v>10</v>
      </c>
      <c r="F81" s="15" t="s">
        <v>20</v>
      </c>
      <c r="G81" s="16" t="s">
        <v>10</v>
      </c>
    </row>
    <row r="82" spans="1:7" x14ac:dyDescent="0.3">
      <c r="A82" s="5" t="s">
        <v>3</v>
      </c>
      <c r="B82" s="1"/>
      <c r="C82" s="2">
        <f>_xll.ciqfunctions.udf.CIQ("NYSE:WMT", "IQ_MARKETCAP", "18/03/2022")/1000</f>
        <v>400.21882923999999</v>
      </c>
      <c r="F82" s="17" t="s">
        <v>21</v>
      </c>
      <c r="G82" s="27">
        <f>(LN(G93/C84)+((C85+(0.5*(G94^2)))*C86))/(G94*SQRT(C86))</f>
        <v>10.065467989267781</v>
      </c>
    </row>
    <row r="83" spans="1:7" x14ac:dyDescent="0.3">
      <c r="A83" s="5" t="s">
        <v>4</v>
      </c>
      <c r="B83" s="1"/>
      <c r="C83" s="2">
        <f>_xll.ciqfunctions.udf.CIQ("NYSE:WMT", "IQ_PRICE_VOL_HIST_YR", "31/01/2022")/100</f>
        <v>0.17807800000000001</v>
      </c>
      <c r="F83" s="17" t="s">
        <v>22</v>
      </c>
      <c r="G83" s="27">
        <f>G82-(G94*SQRT(C86))</f>
        <v>9.9363424238537945</v>
      </c>
    </row>
    <row r="84" spans="1:7" x14ac:dyDescent="0.3">
      <c r="A84" s="5" t="s">
        <v>5</v>
      </c>
      <c r="B84" s="1"/>
      <c r="C84" s="2">
        <f>_xll.ciqfunctions.udf.CIQ("NYSE:WMT", "IQ_TOTAL_LIAB", "FY2022")/1000</f>
        <v>152.96899999999999</v>
      </c>
      <c r="F84" s="17" t="s">
        <v>23</v>
      </c>
      <c r="G84" s="18">
        <f>NORMSDIST(G82)</f>
        <v>1</v>
      </c>
    </row>
    <row r="85" spans="1:7" x14ac:dyDescent="0.3">
      <c r="A85" s="5" t="s">
        <v>6</v>
      </c>
      <c r="B85" s="1"/>
      <c r="C85" s="24">
        <v>8.1600000000000006E-3</v>
      </c>
      <c r="F85" s="17" t="s">
        <v>24</v>
      </c>
      <c r="G85" s="18">
        <f>NORMSDIST(G83)</f>
        <v>1</v>
      </c>
    </row>
    <row r="86" spans="1:7" x14ac:dyDescent="0.3">
      <c r="A86" s="6" t="s">
        <v>7</v>
      </c>
      <c r="B86" s="3"/>
      <c r="C86" s="4">
        <v>1</v>
      </c>
      <c r="F86" s="17" t="s">
        <v>25</v>
      </c>
      <c r="G86" s="18">
        <f>(G93*G84)-(C84*G85*(EXP(-C85*C86)))</f>
        <v>400.21882923999999</v>
      </c>
    </row>
    <row r="87" spans="1:7" x14ac:dyDescent="0.3">
      <c r="F87" s="19" t="s">
        <v>26</v>
      </c>
      <c r="G87" s="20">
        <f>(G93/C82)*G94*G84</f>
        <v>0.17807800089033701</v>
      </c>
    </row>
    <row r="91" spans="1:7" x14ac:dyDescent="0.3">
      <c r="A91" s="32" t="s">
        <v>12</v>
      </c>
      <c r="B91" s="33"/>
    </row>
    <row r="92" spans="1:7" x14ac:dyDescent="0.3">
      <c r="A92" s="10" t="s">
        <v>13</v>
      </c>
      <c r="B92" s="11" t="s">
        <v>14</v>
      </c>
      <c r="F92" s="34" t="s">
        <v>27</v>
      </c>
      <c r="G92" s="35"/>
    </row>
    <row r="93" spans="1:7" x14ac:dyDescent="0.3">
      <c r="A93" s="12" t="s">
        <v>15</v>
      </c>
      <c r="B93" s="25">
        <f>C82-G86</f>
        <v>0</v>
      </c>
      <c r="F93" s="21" t="s">
        <v>28</v>
      </c>
      <c r="G93" s="22">
        <v>551.94468114221149</v>
      </c>
    </row>
    <row r="94" spans="1:7" x14ac:dyDescent="0.3">
      <c r="A94" s="12" t="s">
        <v>16</v>
      </c>
      <c r="B94" s="25">
        <f>C83-G87</f>
        <v>-8.9033699857132831E-10</v>
      </c>
      <c r="F94" s="21" t="s">
        <v>29</v>
      </c>
      <c r="G94" s="22">
        <v>0.12912556541398615</v>
      </c>
    </row>
    <row r="95" spans="1:7" x14ac:dyDescent="0.3">
      <c r="A95" s="12" t="s">
        <v>17</v>
      </c>
      <c r="B95" s="25">
        <f>(B93^2)+(B94^2)</f>
        <v>7.9269997102500147E-19</v>
      </c>
      <c r="F95" s="21" t="s">
        <v>30</v>
      </c>
      <c r="G95" s="22">
        <f>G83</f>
        <v>9.9363424238537945</v>
      </c>
    </row>
    <row r="96" spans="1:7" x14ac:dyDescent="0.3">
      <c r="A96" s="13" t="s">
        <v>18</v>
      </c>
      <c r="B96" s="26" t="str">
        <f>IF(B95&lt;0.01,"YES","NO")</f>
        <v>YES</v>
      </c>
      <c r="F96" s="23" t="s">
        <v>31</v>
      </c>
      <c r="G96" s="28">
        <f>NORMSDIST(-G83)</f>
        <v>1.4462661968366978E-23</v>
      </c>
    </row>
    <row r="100" spans="1:7" x14ac:dyDescent="0.3">
      <c r="A100" s="14" t="s">
        <v>0</v>
      </c>
      <c r="B100" s="29" t="s">
        <v>67</v>
      </c>
    </row>
    <row r="101" spans="1:7" x14ac:dyDescent="0.3">
      <c r="A101" s="14" t="s">
        <v>1</v>
      </c>
      <c r="B101" s="29">
        <v>2023</v>
      </c>
    </row>
    <row r="102" spans="1:7" x14ac:dyDescent="0.3">
      <c r="A102" s="14" t="s">
        <v>2</v>
      </c>
      <c r="B102" s="29" t="s">
        <v>37</v>
      </c>
    </row>
    <row r="104" spans="1:7" x14ac:dyDescent="0.3">
      <c r="A104" s="36" t="s">
        <v>11</v>
      </c>
      <c r="B104" s="37"/>
      <c r="C104" s="38"/>
      <c r="F104" s="39" t="s">
        <v>19</v>
      </c>
      <c r="G104" s="40"/>
    </row>
    <row r="105" spans="1:7" x14ac:dyDescent="0.3">
      <c r="A105" s="7" t="s">
        <v>8</v>
      </c>
      <c r="B105" s="8" t="s">
        <v>9</v>
      </c>
      <c r="C105" s="9" t="s">
        <v>10</v>
      </c>
      <c r="F105" s="15" t="s">
        <v>20</v>
      </c>
      <c r="G105" s="16" t="s">
        <v>10</v>
      </c>
    </row>
    <row r="106" spans="1:7" x14ac:dyDescent="0.3">
      <c r="A106" s="5" t="s">
        <v>3</v>
      </c>
      <c r="B106" s="1"/>
      <c r="C106" s="2">
        <f>_xll.ciqfunctions.udf.CIQ("NYSE:WMT", "IQ_MARKETCAP", "17/03/2023")/1000</f>
        <v>375.77443167000001</v>
      </c>
      <c r="F106" s="17" t="s">
        <v>21</v>
      </c>
      <c r="G106" s="27">
        <f>(LN(G117/C108)+((C109+(0.5*(G118^2)))*C110))/(G118*SQRT(C110))</f>
        <v>9.9967594773421471</v>
      </c>
    </row>
    <row r="107" spans="1:7" x14ac:dyDescent="0.3">
      <c r="A107" s="5" t="s">
        <v>4</v>
      </c>
      <c r="B107" s="1"/>
      <c r="C107" s="2">
        <f>_xll.ciqfunctions.udf.CIQ("NYSE:WMT", "IQ_PRICE_VOL_HIST_YR", "31/01/2022")/100</f>
        <v>0.17807800000000001</v>
      </c>
      <c r="F107" s="17" t="s">
        <v>22</v>
      </c>
      <c r="G107" s="27">
        <f>G106-(G118*SQRT(C110))</f>
        <v>9.8684883302248902</v>
      </c>
    </row>
    <row r="108" spans="1:7" x14ac:dyDescent="0.3">
      <c r="A108" s="5" t="s">
        <v>5</v>
      </c>
      <c r="B108" s="1"/>
      <c r="C108" s="2">
        <f>_xll.ciqfunctions.udf.CIQ("NYSE:WMT", "IQ_TOTAL_LIAB", "FY2022")/1000</f>
        <v>152.96899999999999</v>
      </c>
      <c r="F108" s="17" t="s">
        <v>23</v>
      </c>
      <c r="G108" s="18">
        <f>NORMSDIST(G106)</f>
        <v>1</v>
      </c>
    </row>
    <row r="109" spans="1:7" x14ac:dyDescent="0.3">
      <c r="A109" s="5" t="s">
        <v>6</v>
      </c>
      <c r="B109" s="1"/>
      <c r="C109" s="24">
        <v>4.7239999999999997E-2</v>
      </c>
      <c r="F109" s="17" t="s">
        <v>24</v>
      </c>
      <c r="G109" s="18">
        <f>NORMSDIST(G107)</f>
        <v>1</v>
      </c>
    </row>
    <row r="110" spans="1:7" x14ac:dyDescent="0.3">
      <c r="A110" s="6" t="s">
        <v>7</v>
      </c>
      <c r="B110" s="3"/>
      <c r="C110" s="4">
        <v>1</v>
      </c>
      <c r="F110" s="17" t="s">
        <v>25</v>
      </c>
      <c r="G110" s="18">
        <f>(G117*G108)-(C108*G109*(EXP(-C109*C110)))</f>
        <v>375.77443167000001</v>
      </c>
    </row>
    <row r="111" spans="1:7" x14ac:dyDescent="0.3">
      <c r="F111" s="19" t="s">
        <v>26</v>
      </c>
      <c r="G111" s="20">
        <f>(G117/C106)*G118*G108</f>
        <v>0.17807800082169761</v>
      </c>
    </row>
    <row r="115" spans="1:7" x14ac:dyDescent="0.3">
      <c r="A115" s="32" t="s">
        <v>12</v>
      </c>
      <c r="B115" s="33"/>
    </row>
    <row r="116" spans="1:7" x14ac:dyDescent="0.3">
      <c r="A116" s="10" t="s">
        <v>13</v>
      </c>
      <c r="B116" s="11" t="s">
        <v>14</v>
      </c>
      <c r="F116" s="34" t="s">
        <v>27</v>
      </c>
      <c r="G116" s="35"/>
    </row>
    <row r="117" spans="1:7" x14ac:dyDescent="0.3">
      <c r="A117" s="12" t="s">
        <v>15</v>
      </c>
      <c r="B117" s="25">
        <f>C106-G110</f>
        <v>0</v>
      </c>
      <c r="F117" s="21" t="s">
        <v>28</v>
      </c>
      <c r="G117" s="22">
        <v>521.68520400407488</v>
      </c>
    </row>
    <row r="118" spans="1:7" x14ac:dyDescent="0.3">
      <c r="A118" s="12" t="s">
        <v>16</v>
      </c>
      <c r="B118" s="25">
        <f>C107-G111</f>
        <v>-8.2169759885175608E-10</v>
      </c>
      <c r="F118" s="21" t="s">
        <v>29</v>
      </c>
      <c r="G118" s="22">
        <v>0.12827114711725757</v>
      </c>
    </row>
    <row r="119" spans="1:7" x14ac:dyDescent="0.3">
      <c r="A119" s="12" t="s">
        <v>17</v>
      </c>
      <c r="B119" s="25">
        <f>(B117^2)+(B118^2)</f>
        <v>6.7518694395874146E-19</v>
      </c>
      <c r="F119" s="21" t="s">
        <v>30</v>
      </c>
      <c r="G119" s="22">
        <f>G107</f>
        <v>9.8684883302248902</v>
      </c>
    </row>
    <row r="120" spans="1:7" x14ac:dyDescent="0.3">
      <c r="A120" s="13" t="s">
        <v>18</v>
      </c>
      <c r="B120" s="26" t="str">
        <f>IF(B119&lt;0.01,"YES","NO")</f>
        <v>YES</v>
      </c>
      <c r="F120" s="23" t="s">
        <v>31</v>
      </c>
      <c r="G120" s="28">
        <f>NORMSDIST(-G107)</f>
        <v>2.8508688154021694E-23</v>
      </c>
    </row>
    <row r="124" spans="1:7" x14ac:dyDescent="0.3">
      <c r="A124" s="14" t="s">
        <v>0</v>
      </c>
      <c r="B124" s="29" t="s">
        <v>67</v>
      </c>
    </row>
    <row r="125" spans="1:7" x14ac:dyDescent="0.3">
      <c r="A125" s="14" t="s">
        <v>1</v>
      </c>
      <c r="B125" s="29">
        <v>2024</v>
      </c>
    </row>
    <row r="126" spans="1:7" x14ac:dyDescent="0.3">
      <c r="A126" s="14" t="s">
        <v>2</v>
      </c>
      <c r="B126" s="29" t="s">
        <v>38</v>
      </c>
    </row>
    <row r="128" spans="1:7" x14ac:dyDescent="0.3">
      <c r="A128" s="36" t="s">
        <v>11</v>
      </c>
      <c r="B128" s="37"/>
      <c r="C128" s="38"/>
      <c r="F128" s="39" t="s">
        <v>19</v>
      </c>
      <c r="G128" s="40"/>
    </row>
    <row r="129" spans="1:7" x14ac:dyDescent="0.3">
      <c r="A129" s="7" t="s">
        <v>8</v>
      </c>
      <c r="B129" s="8" t="s">
        <v>9</v>
      </c>
      <c r="C129" s="9" t="s">
        <v>10</v>
      </c>
      <c r="F129" s="15" t="s">
        <v>20</v>
      </c>
      <c r="G129" s="16" t="s">
        <v>10</v>
      </c>
    </row>
    <row r="130" spans="1:7" x14ac:dyDescent="0.3">
      <c r="A130" s="5" t="s">
        <v>3</v>
      </c>
      <c r="B130" s="1"/>
      <c r="C130" s="30">
        <f>_xll.ciqfunctions.udf.CIQ("NYSE:WMT", "IQ_MARKETCAP", "15/03/2024")/1000</f>
        <v>488.96239353999999</v>
      </c>
      <c r="F130" s="17" t="s">
        <v>21</v>
      </c>
      <c r="G130" s="27">
        <f>(LN(G141/C132)+((C133+(0.5*(G142^2)))*C134))/(G142*SQRT(C134))</f>
        <v>12.611259764462325</v>
      </c>
    </row>
    <row r="131" spans="1:7" x14ac:dyDescent="0.3">
      <c r="A131" s="5" t="s">
        <v>4</v>
      </c>
      <c r="B131" s="1"/>
      <c r="C131" s="2">
        <f>_xll.ciqfunctions.udf.CIQ("NYSE:WMT", "IQ_PRICE_VOL_HIST_YR", "31/01/2024")/100</f>
        <v>0.142455</v>
      </c>
      <c r="F131" s="17" t="s">
        <v>22</v>
      </c>
      <c r="G131" s="27">
        <f>G130-(G142*SQRT(C134))</f>
        <v>12.503187330545799</v>
      </c>
    </row>
    <row r="132" spans="1:7" x14ac:dyDescent="0.3">
      <c r="A132" s="5" t="s">
        <v>5</v>
      </c>
      <c r="B132" s="1"/>
      <c r="C132" s="2">
        <f>_xll.ciqfunctions.udf.CIQ("NYSE:WMT", "IQ_TOTAL_LIAB")/1000</f>
        <v>173.98</v>
      </c>
      <c r="F132" s="17" t="s">
        <v>23</v>
      </c>
      <c r="G132" s="18">
        <f>NORMSDIST(G130)</f>
        <v>1</v>
      </c>
    </row>
    <row r="133" spans="1:7" x14ac:dyDescent="0.3">
      <c r="A133" s="5" t="s">
        <v>6</v>
      </c>
      <c r="B133" s="1"/>
      <c r="C133" s="24">
        <v>4.752E-2</v>
      </c>
      <c r="F133" s="17" t="s">
        <v>24</v>
      </c>
      <c r="G133" s="18">
        <f>NORMSDIST(G131)</f>
        <v>1</v>
      </c>
    </row>
    <row r="134" spans="1:7" x14ac:dyDescent="0.3">
      <c r="A134" s="6" t="s">
        <v>7</v>
      </c>
      <c r="B134" s="3"/>
      <c r="C134" s="4">
        <v>1</v>
      </c>
      <c r="F134" s="17" t="s">
        <v>25</v>
      </c>
      <c r="G134" s="18">
        <f>(G141*G132)-(C132*G133*(EXP(-C133*C134)))</f>
        <v>478.61688042931553</v>
      </c>
    </row>
    <row r="135" spans="1:7" x14ac:dyDescent="0.3">
      <c r="F135" s="19" t="s">
        <v>26</v>
      </c>
      <c r="G135" s="20">
        <f>(G141/C130)*G142*G132</f>
        <v>0.14245500096383712</v>
      </c>
    </row>
    <row r="139" spans="1:7" x14ac:dyDescent="0.3">
      <c r="A139" s="32" t="s">
        <v>12</v>
      </c>
      <c r="B139" s="33"/>
    </row>
    <row r="140" spans="1:7" x14ac:dyDescent="0.3">
      <c r="A140" s="10" t="s">
        <v>13</v>
      </c>
      <c r="B140" s="11" t="s">
        <v>14</v>
      </c>
      <c r="F140" s="34" t="s">
        <v>27</v>
      </c>
      <c r="G140" s="35"/>
    </row>
    <row r="141" spans="1:7" x14ac:dyDescent="0.3">
      <c r="A141" s="12" t="s">
        <v>15</v>
      </c>
      <c r="B141" s="25">
        <f>C130-G134</f>
        <v>10.345513110684465</v>
      </c>
      <c r="F141" s="21" t="s">
        <v>28</v>
      </c>
      <c r="G141" s="22">
        <v>644.52271239510912</v>
      </c>
    </row>
    <row r="142" spans="1:7" x14ac:dyDescent="0.3">
      <c r="A142" s="12" t="s">
        <v>16</v>
      </c>
      <c r="B142" s="25">
        <f>C131-G135</f>
        <v>-9.6383712122616316E-10</v>
      </c>
      <c r="F142" s="21" t="s">
        <v>29</v>
      </c>
      <c r="G142" s="22">
        <v>0.10807243391652645</v>
      </c>
    </row>
    <row r="143" spans="1:7" x14ac:dyDescent="0.3">
      <c r="A143" s="12" t="s">
        <v>17</v>
      </c>
      <c r="B143" s="25">
        <f>(B141^2)+(B142^2)</f>
        <v>107.02964152334415</v>
      </c>
      <c r="F143" s="21" t="s">
        <v>30</v>
      </c>
      <c r="G143" s="22">
        <f>G131</f>
        <v>12.503187330545799</v>
      </c>
    </row>
    <row r="144" spans="1:7" x14ac:dyDescent="0.3">
      <c r="A144" s="13" t="s">
        <v>18</v>
      </c>
      <c r="B144" s="26" t="str">
        <f>IF(B143&lt;0.01,"YES","NO")</f>
        <v>NO</v>
      </c>
      <c r="F144" s="23" t="s">
        <v>31</v>
      </c>
      <c r="G144" s="28">
        <f>NORMSDIST(-G131)</f>
        <v>3.5858551264526941E-36</v>
      </c>
    </row>
  </sheetData>
  <mergeCells count="25">
    <mergeCell ref="A56:C56"/>
    <mergeCell ref="F56:G56"/>
    <mergeCell ref="A67:B67"/>
    <mergeCell ref="A8:C8"/>
    <mergeCell ref="A19:B19"/>
    <mergeCell ref="F8:G8"/>
    <mergeCell ref="F20:G20"/>
    <mergeCell ref="A32:C32"/>
    <mergeCell ref="F32:G32"/>
    <mergeCell ref="F1:H1"/>
    <mergeCell ref="A139:B139"/>
    <mergeCell ref="F140:G140"/>
    <mergeCell ref="A104:C104"/>
    <mergeCell ref="F104:G104"/>
    <mergeCell ref="A115:B115"/>
    <mergeCell ref="F116:G116"/>
    <mergeCell ref="A128:C128"/>
    <mergeCell ref="F128:G128"/>
    <mergeCell ref="F68:G68"/>
    <mergeCell ref="A80:C80"/>
    <mergeCell ref="F80:G80"/>
    <mergeCell ref="A91:B91"/>
    <mergeCell ref="F92:G92"/>
    <mergeCell ref="A43:B43"/>
    <mergeCell ref="F44:G4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LVE">
                <anchor moveWithCells="1">
                  <from>
                    <xdr:col>5</xdr:col>
                    <xdr:colOff>746760</xdr:colOff>
                    <xdr:row>4</xdr:row>
                    <xdr:rowOff>121920</xdr:rowOff>
                  </from>
                  <to>
                    <xdr:col>5</xdr:col>
                    <xdr:colOff>1234440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">
                <anchor moveWithCells="1">
                  <from>
                    <xdr:col>6</xdr:col>
                    <xdr:colOff>327660</xdr:colOff>
                    <xdr:row>4</xdr:row>
                    <xdr:rowOff>106680</xdr:rowOff>
                  </from>
                  <to>
                    <xdr:col>6</xdr:col>
                    <xdr:colOff>815340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1017-6C36-445C-87A7-53B4C9773053}">
  <sheetPr codeName="Sheet4"/>
  <dimension ref="A1:XFD144"/>
  <sheetViews>
    <sheetView topLeftCell="A4" zoomScale="120" zoomScaleNormal="120" workbookViewId="0">
      <selection activeCell="F1" sqref="F1:H1"/>
    </sheetView>
  </sheetViews>
  <sheetFormatPr defaultRowHeight="14.4" x14ac:dyDescent="0.3"/>
  <cols>
    <col min="1" max="1" width="49.21875" bestFit="1" customWidth="1"/>
    <col min="2" max="2" width="22.33203125" bestFit="1" customWidth="1"/>
    <col min="3" max="3" width="12" bestFit="1" customWidth="1"/>
    <col min="6" max="6" width="20.5546875" bestFit="1" customWidth="1"/>
    <col min="7" max="7" width="12" bestFit="1" customWidth="1"/>
  </cols>
  <sheetData>
    <row r="1" spans="1:8" x14ac:dyDescent="0.3">
      <c r="A1" s="14" t="s">
        <v>0</v>
      </c>
      <c r="B1" s="29" t="s">
        <v>66</v>
      </c>
      <c r="F1" s="31" t="s">
        <v>63</v>
      </c>
      <c r="G1" s="31"/>
      <c r="H1" s="31"/>
    </row>
    <row r="2" spans="1:8" x14ac:dyDescent="0.3">
      <c r="A2" s="14" t="s">
        <v>1</v>
      </c>
      <c r="B2" s="29">
        <v>2019</v>
      </c>
    </row>
    <row r="3" spans="1:8" x14ac:dyDescent="0.3">
      <c r="A3" s="14" t="s">
        <v>2</v>
      </c>
      <c r="B3" s="29" t="s">
        <v>39</v>
      </c>
    </row>
    <row r="8" spans="1:8" x14ac:dyDescent="0.3">
      <c r="A8" s="36" t="s">
        <v>11</v>
      </c>
      <c r="B8" s="37"/>
      <c r="C8" s="38"/>
      <c r="F8" s="39" t="s">
        <v>19</v>
      </c>
      <c r="G8" s="40"/>
    </row>
    <row r="9" spans="1:8" x14ac:dyDescent="0.3">
      <c r="A9" s="7" t="s">
        <v>8</v>
      </c>
      <c r="B9" s="8" t="s">
        <v>9</v>
      </c>
      <c r="C9" s="9" t="s">
        <v>10</v>
      </c>
      <c r="F9" s="15" t="s">
        <v>20</v>
      </c>
      <c r="G9" s="16" t="s">
        <v>10</v>
      </c>
    </row>
    <row r="10" spans="1:8" x14ac:dyDescent="0.3">
      <c r="A10" s="5" t="s">
        <v>3</v>
      </c>
      <c r="B10" s="1" t="s">
        <v>45</v>
      </c>
      <c r="C10" s="2">
        <f>_xll.ciqfunctions.udf.CIQ("NasdaqGS:COST", "IQ_MARKETCAP", "11/10/2019")/1000</f>
        <v>130.83240000000001</v>
      </c>
      <c r="F10" s="17" t="s">
        <v>21</v>
      </c>
      <c r="G10" s="27">
        <f>(LN(G21/C12)+((C13+(0.5*(G22^2)))*C14))/(G22*SQRT(C14))</f>
        <v>9.0214833763952917</v>
      </c>
    </row>
    <row r="11" spans="1:8" x14ac:dyDescent="0.3">
      <c r="A11" s="5" t="s">
        <v>4</v>
      </c>
      <c r="B11" s="1" t="s">
        <v>46</v>
      </c>
      <c r="C11" s="2">
        <f>_xll.ciqfunctions.udf.CIQ("NasdaqGS:COST", "IQ_PRICE_VOL_HIST_YR", "01/09/2019")/100</f>
        <v>0.23291899999999999</v>
      </c>
      <c r="F11" s="17" t="s">
        <v>22</v>
      </c>
      <c r="G11" s="27">
        <f>G10-(G22*SQRT(C14))</f>
        <v>8.8311635200427059</v>
      </c>
    </row>
    <row r="12" spans="1:8" x14ac:dyDescent="0.3">
      <c r="A12" s="5" t="s">
        <v>5</v>
      </c>
      <c r="B12" s="1" t="s">
        <v>47</v>
      </c>
      <c r="C12" s="2">
        <f>_xll.ciqfunctions.udf.CIQ("NasdaqGS:COST", "IQ_TOTAL_LIAB", "FY2019")/1000</f>
        <v>29.815999999999999</v>
      </c>
      <c r="F12" s="17" t="s">
        <v>23</v>
      </c>
      <c r="G12" s="18">
        <f>NORMSDIST(G10)</f>
        <v>1</v>
      </c>
    </row>
    <row r="13" spans="1:8" x14ac:dyDescent="0.3">
      <c r="A13" s="5" t="s">
        <v>6</v>
      </c>
      <c r="B13" s="1" t="s">
        <v>48</v>
      </c>
      <c r="C13" s="24">
        <v>1.7999999999999999E-2</v>
      </c>
      <c r="F13" s="17" t="s">
        <v>24</v>
      </c>
      <c r="G13" s="18">
        <f>NORMSDIST(G11)</f>
        <v>1</v>
      </c>
    </row>
    <row r="14" spans="1:8" x14ac:dyDescent="0.3">
      <c r="A14" s="6" t="s">
        <v>7</v>
      </c>
      <c r="B14" s="3"/>
      <c r="C14" s="4">
        <v>1</v>
      </c>
      <c r="F14" s="17" t="s">
        <v>25</v>
      </c>
      <c r="G14" s="18">
        <f>(G21*G12)-(C12*G13*(EXP(-C13*C14)))</f>
        <v>130.83240000000001</v>
      </c>
    </row>
    <row r="15" spans="1:8" x14ac:dyDescent="0.3">
      <c r="F15" s="19" t="s">
        <v>26</v>
      </c>
      <c r="G15" s="20">
        <f>(G21/C10)*G22*G12</f>
        <v>0.23291900032940738</v>
      </c>
    </row>
    <row r="19" spans="1:7 16384:16384" x14ac:dyDescent="0.3">
      <c r="A19" s="32" t="s">
        <v>12</v>
      </c>
      <c r="B19" s="33"/>
    </row>
    <row r="20" spans="1:7 16384:16384" x14ac:dyDescent="0.3">
      <c r="A20" s="10" t="s">
        <v>13</v>
      </c>
      <c r="B20" s="11" t="s">
        <v>14</v>
      </c>
      <c r="F20" s="34" t="s">
        <v>27</v>
      </c>
      <c r="G20" s="35"/>
    </row>
    <row r="21" spans="1:7 16384:16384" x14ac:dyDescent="0.3">
      <c r="A21" s="12" t="s">
        <v>15</v>
      </c>
      <c r="B21" s="25">
        <f>C10-G14</f>
        <v>0</v>
      </c>
      <c r="F21" s="21" t="s">
        <v>28</v>
      </c>
      <c r="G21" s="22">
        <v>160.11651334079511</v>
      </c>
    </row>
    <row r="22" spans="1:7 16384:16384" x14ac:dyDescent="0.3">
      <c r="A22" s="12" t="s">
        <v>16</v>
      </c>
      <c r="B22" s="25">
        <f>C11-G15</f>
        <v>-3.2940739025377752E-10</v>
      </c>
      <c r="F22" s="21" t="s">
        <v>29</v>
      </c>
      <c r="G22" s="22">
        <v>0.19031985635258672</v>
      </c>
    </row>
    <row r="23" spans="1:7 16384:16384" x14ac:dyDescent="0.3">
      <c r="A23" s="12" t="s">
        <v>17</v>
      </c>
      <c r="B23" s="25">
        <f>(B21^2)+(B22^2)</f>
        <v>1.0850922875380448E-19</v>
      </c>
      <c r="F23" s="21" t="s">
        <v>30</v>
      </c>
      <c r="G23" s="22">
        <f>G11</f>
        <v>8.8311635200427059</v>
      </c>
    </row>
    <row r="24" spans="1:7 16384:16384" x14ac:dyDescent="0.3">
      <c r="A24" s="13" t="s">
        <v>18</v>
      </c>
      <c r="B24" s="26" t="str">
        <f>IF(B23&lt;0.01,"YES","NO")</f>
        <v>YES</v>
      </c>
      <c r="F24" s="23" t="s">
        <v>31</v>
      </c>
      <c r="G24" s="28">
        <f>NORMSDIST(-G11)</f>
        <v>5.1796206259520015E-19</v>
      </c>
    </row>
    <row r="28" spans="1:7 16384:16384" x14ac:dyDescent="0.3">
      <c r="A28" s="14" t="s">
        <v>0</v>
      </c>
      <c r="B28" s="29" t="s">
        <v>66</v>
      </c>
      <c r="XFD28" t="s">
        <v>49</v>
      </c>
    </row>
    <row r="29" spans="1:7 16384:16384" x14ac:dyDescent="0.3">
      <c r="A29" s="14" t="s">
        <v>1</v>
      </c>
      <c r="B29" s="29">
        <v>2020</v>
      </c>
    </row>
    <row r="30" spans="1:7 16384:16384" x14ac:dyDescent="0.3">
      <c r="A30" s="14" t="s">
        <v>2</v>
      </c>
      <c r="B30" s="29" t="s">
        <v>40</v>
      </c>
    </row>
    <row r="32" spans="1:7 16384:16384" x14ac:dyDescent="0.3">
      <c r="A32" s="36" t="s">
        <v>11</v>
      </c>
      <c r="B32" s="37"/>
      <c r="C32" s="38"/>
      <c r="F32" s="39" t="s">
        <v>19</v>
      </c>
      <c r="G32" s="40"/>
    </row>
    <row r="33" spans="1:7" x14ac:dyDescent="0.3">
      <c r="A33" s="7" t="s">
        <v>8</v>
      </c>
      <c r="B33" s="8" t="s">
        <v>9</v>
      </c>
      <c r="C33" s="9" t="s">
        <v>10</v>
      </c>
      <c r="F33" s="15" t="s">
        <v>20</v>
      </c>
      <c r="G33" s="16" t="s">
        <v>10</v>
      </c>
    </row>
    <row r="34" spans="1:7" x14ac:dyDescent="0.3">
      <c r="A34" s="5" t="s">
        <v>3</v>
      </c>
      <c r="B34" s="1"/>
      <c r="C34" s="2">
        <f>_xll.ciqfunctions.udf.CIQ("NasdaqGS:COST", "IQ_MARKETCAP", "07/10/2020")/1000</f>
        <v>160.17459836</v>
      </c>
      <c r="F34" s="17" t="s">
        <v>21</v>
      </c>
      <c r="G34" s="27">
        <f>(LN(G45/C36)+((C37+(0.5*(G46^2)))*C38))/(G46*SQRT(C38))</f>
        <v>8.3722216212398912</v>
      </c>
    </row>
    <row r="35" spans="1:7" x14ac:dyDescent="0.3">
      <c r="A35" s="5" t="s">
        <v>4</v>
      </c>
      <c r="B35" s="1"/>
      <c r="C35" s="2">
        <f>_xll.ciqfunctions.udf.CIQ("NasdaqGS:COST", "IQ_PRICE_VOL_HIST_YR", "30/08/2020")/100</f>
        <v>0.24942499999999998</v>
      </c>
      <c r="F35" s="17" t="s">
        <v>22</v>
      </c>
      <c r="G35" s="27">
        <f>G34-(G46*SQRT(C38))</f>
        <v>8.1693989437191448</v>
      </c>
    </row>
    <row r="36" spans="1:7" x14ac:dyDescent="0.3">
      <c r="A36" s="5" t="s">
        <v>5</v>
      </c>
      <c r="B36" s="1"/>
      <c r="C36" s="2">
        <f>_xll.ciqfunctions.udf.CIQ("NasdaqGS:COST", "IQ_TOTAL_LIAB", "FY2020")/1000</f>
        <v>36.850999999999999</v>
      </c>
      <c r="F36" s="17" t="s">
        <v>23</v>
      </c>
      <c r="G36" s="18">
        <f>NORMSDIST(G34)</f>
        <v>1</v>
      </c>
    </row>
    <row r="37" spans="1:7" x14ac:dyDescent="0.3">
      <c r="A37" s="5" t="s">
        <v>6</v>
      </c>
      <c r="B37" s="1"/>
      <c r="C37" s="24">
        <v>1.2999999999999999E-3</v>
      </c>
      <c r="F37" s="17" t="s">
        <v>24</v>
      </c>
      <c r="G37" s="18">
        <f>NORMSDIST(G35)</f>
        <v>0.99999999999999989</v>
      </c>
    </row>
    <row r="38" spans="1:7" x14ac:dyDescent="0.3">
      <c r="A38" s="6" t="s">
        <v>7</v>
      </c>
      <c r="B38" s="3"/>
      <c r="C38" s="4">
        <v>1</v>
      </c>
      <c r="F38" s="17" t="s">
        <v>25</v>
      </c>
      <c r="G38" s="18">
        <f>(G45*G36)-(C36*G37*(EXP(-C37*C38)))</f>
        <v>160.17459836</v>
      </c>
    </row>
    <row r="39" spans="1:7" x14ac:dyDescent="0.3">
      <c r="F39" s="19" t="s">
        <v>26</v>
      </c>
      <c r="G39" s="20">
        <f>(G45/C34)*G46*G36</f>
        <v>0.24942500020291547</v>
      </c>
    </row>
    <row r="43" spans="1:7" x14ac:dyDescent="0.3">
      <c r="A43" s="32" t="s">
        <v>12</v>
      </c>
      <c r="B43" s="33"/>
    </row>
    <row r="44" spans="1:7" x14ac:dyDescent="0.3">
      <c r="A44" s="10" t="s">
        <v>13</v>
      </c>
      <c r="B44" s="11" t="s">
        <v>14</v>
      </c>
      <c r="F44" s="34" t="s">
        <v>27</v>
      </c>
      <c r="G44" s="35"/>
    </row>
    <row r="45" spans="1:7" x14ac:dyDescent="0.3">
      <c r="A45" s="12" t="s">
        <v>15</v>
      </c>
      <c r="B45" s="25">
        <f>C34-G38</f>
        <v>0</v>
      </c>
      <c r="F45" s="21" t="s">
        <v>28</v>
      </c>
      <c r="G45" s="22">
        <v>196.97772318560578</v>
      </c>
    </row>
    <row r="46" spans="1:7" x14ac:dyDescent="0.3">
      <c r="A46" s="12" t="s">
        <v>16</v>
      </c>
      <c r="B46" s="25">
        <f>C35-G39</f>
        <v>-2.0291548996631548E-10</v>
      </c>
      <c r="F46" s="21" t="s">
        <v>29</v>
      </c>
      <c r="G46" s="22">
        <v>0.20282267752074606</v>
      </c>
    </row>
    <row r="47" spans="1:7" x14ac:dyDescent="0.3">
      <c r="A47" s="12" t="s">
        <v>17</v>
      </c>
      <c r="B47" s="25">
        <f>(B45^2)+(B46^2)</f>
        <v>4.1174696068269877E-20</v>
      </c>
      <c r="F47" s="21" t="s">
        <v>30</v>
      </c>
      <c r="G47" s="22">
        <f>G35</f>
        <v>8.1693989437191448</v>
      </c>
    </row>
    <row r="48" spans="1:7" x14ac:dyDescent="0.3">
      <c r="A48" s="13" t="s">
        <v>18</v>
      </c>
      <c r="B48" s="26" t="str">
        <f>IF(B47&lt;0.01,"YES","NO")</f>
        <v>YES</v>
      </c>
      <c r="F48" s="23" t="s">
        <v>31</v>
      </c>
      <c r="G48" s="28">
        <f>NORMSDIST(-G35)</f>
        <v>1.5496483759381383E-16</v>
      </c>
    </row>
    <row r="52" spans="1:7" x14ac:dyDescent="0.3">
      <c r="A52" s="14" t="s">
        <v>0</v>
      </c>
      <c r="B52" s="29" t="s">
        <v>66</v>
      </c>
    </row>
    <row r="53" spans="1:7" x14ac:dyDescent="0.3">
      <c r="A53" s="14" t="s">
        <v>1</v>
      </c>
      <c r="B53" s="29">
        <v>2021</v>
      </c>
    </row>
    <row r="54" spans="1:7" x14ac:dyDescent="0.3">
      <c r="A54" s="14" t="s">
        <v>2</v>
      </c>
      <c r="B54" s="29" t="s">
        <v>41</v>
      </c>
    </row>
    <row r="56" spans="1:7" x14ac:dyDescent="0.3">
      <c r="A56" s="36" t="s">
        <v>11</v>
      </c>
      <c r="B56" s="37"/>
      <c r="C56" s="38"/>
      <c r="F56" s="39" t="s">
        <v>19</v>
      </c>
      <c r="G56" s="40"/>
    </row>
    <row r="57" spans="1:7" x14ac:dyDescent="0.3">
      <c r="A57" s="7" t="s">
        <v>8</v>
      </c>
      <c r="B57" s="8" t="s">
        <v>9</v>
      </c>
      <c r="C57" s="9" t="s">
        <v>10</v>
      </c>
      <c r="F57" s="15" t="s">
        <v>20</v>
      </c>
      <c r="G57" s="16" t="s">
        <v>10</v>
      </c>
    </row>
    <row r="58" spans="1:7" x14ac:dyDescent="0.3">
      <c r="A58" s="5" t="s">
        <v>3</v>
      </c>
      <c r="B58" s="1"/>
      <c r="C58" s="2">
        <f>_xll.ciqfunctions.udf.CIQ("NasdaqGS:COST", "IQ_MARKETCAP", "06/10/2021")/1000</f>
        <v>198.52911123999999</v>
      </c>
      <c r="F58" s="17" t="s">
        <v>21</v>
      </c>
      <c r="G58" s="27">
        <f>(LN(G69/C60)+((C61+(0.5*(G70^2)))*C62))/(G70*SQRT(C62))</f>
        <v>10.849514648906689</v>
      </c>
    </row>
    <row r="59" spans="1:7" x14ac:dyDescent="0.3">
      <c r="A59" s="5" t="s">
        <v>4</v>
      </c>
      <c r="B59" s="1"/>
      <c r="C59" s="2">
        <f>_xll.ciqfunctions.udf.CIQ("NasdaqGS:COST", "IQ_PRICE_VOL_HIST_YR", "29/08/2021")/100</f>
        <v>0.197548</v>
      </c>
      <c r="F59" s="17" t="s">
        <v>22</v>
      </c>
      <c r="G59" s="27">
        <f>G58-(G70*SQRT(C62))</f>
        <v>10.685890879303308</v>
      </c>
    </row>
    <row r="60" spans="1:7" x14ac:dyDescent="0.3">
      <c r="A60" s="5" t="s">
        <v>5</v>
      </c>
      <c r="B60" s="1"/>
      <c r="C60" s="2">
        <f>_xll.ciqfunctions.udf.CIQ("NasdaqGS:COST", "IQ_TOTAL_LIAB", "FY2021")/1000</f>
        <v>41.19</v>
      </c>
      <c r="F60" s="17" t="s">
        <v>23</v>
      </c>
      <c r="G60" s="18">
        <f>NORMSDIST(G58)</f>
        <v>1</v>
      </c>
    </row>
    <row r="61" spans="1:7" x14ac:dyDescent="0.3">
      <c r="A61" s="5" t="s">
        <v>6</v>
      </c>
      <c r="B61" s="1"/>
      <c r="C61" s="24">
        <v>6.9999999999999999E-4</v>
      </c>
      <c r="F61" s="17" t="s">
        <v>24</v>
      </c>
      <c r="G61" s="18">
        <f>NORMSDIST(G59)</f>
        <v>1</v>
      </c>
    </row>
    <row r="62" spans="1:7" x14ac:dyDescent="0.3">
      <c r="A62" s="6" t="s">
        <v>7</v>
      </c>
      <c r="B62" s="3"/>
      <c r="C62" s="4">
        <v>1</v>
      </c>
      <c r="F62" s="17" t="s">
        <v>25</v>
      </c>
      <c r="G62" s="18">
        <f>(G69*G60)-(C60*G61*(EXP(-C61*C62)))</f>
        <v>198.52911123999999</v>
      </c>
    </row>
    <row r="63" spans="1:7" x14ac:dyDescent="0.3">
      <c r="F63" s="19" t="s">
        <v>26</v>
      </c>
      <c r="G63" s="20">
        <f>(G69/C58)*G70*G60</f>
        <v>0.19754799821942964</v>
      </c>
    </row>
    <row r="67" spans="1:7" x14ac:dyDescent="0.3">
      <c r="A67" s="32" t="s">
        <v>12</v>
      </c>
      <c r="B67" s="33"/>
    </row>
    <row r="68" spans="1:7" x14ac:dyDescent="0.3">
      <c r="A68" s="10" t="s">
        <v>13</v>
      </c>
      <c r="B68" s="11" t="s">
        <v>14</v>
      </c>
      <c r="F68" s="34" t="s">
        <v>27</v>
      </c>
      <c r="G68" s="35"/>
    </row>
    <row r="69" spans="1:7" x14ac:dyDescent="0.3">
      <c r="A69" s="12" t="s">
        <v>15</v>
      </c>
      <c r="B69" s="25">
        <f>C58-G62</f>
        <v>0</v>
      </c>
      <c r="F69" s="21" t="s">
        <v>28</v>
      </c>
      <c r="G69" s="22">
        <v>239.69028832919571</v>
      </c>
    </row>
    <row r="70" spans="1:7" x14ac:dyDescent="0.3">
      <c r="A70" s="12" t="s">
        <v>16</v>
      </c>
      <c r="B70" s="25">
        <f>C59-G63</f>
        <v>1.7805703578233079E-9</v>
      </c>
      <c r="F70" s="21" t="s">
        <v>29</v>
      </c>
      <c r="G70" s="22">
        <v>0.16362376960338179</v>
      </c>
    </row>
    <row r="71" spans="1:7" x14ac:dyDescent="0.3">
      <c r="A71" s="12" t="s">
        <v>17</v>
      </c>
      <c r="B71" s="25">
        <f>(B69^2)+(B70^2)</f>
        <v>3.1704307991590226E-18</v>
      </c>
      <c r="F71" s="21" t="s">
        <v>30</v>
      </c>
      <c r="G71" s="22">
        <f>G59</f>
        <v>10.685890879303308</v>
      </c>
    </row>
    <row r="72" spans="1:7" x14ac:dyDescent="0.3">
      <c r="A72" s="13" t="s">
        <v>18</v>
      </c>
      <c r="B72" s="26" t="str">
        <f>IF(B71&lt;0.01,"YES","NO")</f>
        <v>YES</v>
      </c>
      <c r="F72" s="23" t="s">
        <v>31</v>
      </c>
      <c r="G72" s="28">
        <f>NORMSDIST(-G59)</f>
        <v>5.925287662098882E-27</v>
      </c>
    </row>
    <row r="76" spans="1:7" x14ac:dyDescent="0.3">
      <c r="A76" s="14" t="s">
        <v>0</v>
      </c>
      <c r="B76" s="29" t="s">
        <v>66</v>
      </c>
    </row>
    <row r="77" spans="1:7" x14ac:dyDescent="0.3">
      <c r="A77" s="14" t="s">
        <v>1</v>
      </c>
      <c r="B77" s="29">
        <v>2022</v>
      </c>
    </row>
    <row r="78" spans="1:7" x14ac:dyDescent="0.3">
      <c r="A78" s="14" t="s">
        <v>2</v>
      </c>
      <c r="B78" s="29" t="s">
        <v>42</v>
      </c>
    </row>
    <row r="80" spans="1:7" x14ac:dyDescent="0.3">
      <c r="A80" s="36" t="s">
        <v>11</v>
      </c>
      <c r="B80" s="37"/>
      <c r="C80" s="38"/>
      <c r="F80" s="39" t="s">
        <v>19</v>
      </c>
      <c r="G80" s="40"/>
    </row>
    <row r="81" spans="1:7" x14ac:dyDescent="0.3">
      <c r="A81" s="7" t="s">
        <v>8</v>
      </c>
      <c r="B81" s="8" t="s">
        <v>9</v>
      </c>
      <c r="C81" s="9" t="s">
        <v>10</v>
      </c>
      <c r="F81" s="15" t="s">
        <v>20</v>
      </c>
      <c r="G81" s="16" t="s">
        <v>10</v>
      </c>
    </row>
    <row r="82" spans="1:7" x14ac:dyDescent="0.3">
      <c r="A82" s="5" t="s">
        <v>3</v>
      </c>
      <c r="B82" s="1"/>
      <c r="C82" s="2">
        <f>_xll.ciqfunctions.udf.CIQ("NasdaqGS:COST", "IQ_MARKETCAP", "05/10/2022")/1000</f>
        <v>212.59162293</v>
      </c>
      <c r="F82" s="17" t="s">
        <v>21</v>
      </c>
      <c r="G82" s="27">
        <f>(LN(G93/C84)+((C85+(0.5*(G94^2)))*C86))/(G94*SQRT(C86))</f>
        <v>6.6997057732869258</v>
      </c>
    </row>
    <row r="83" spans="1:7" x14ac:dyDescent="0.3">
      <c r="A83" s="5" t="s">
        <v>4</v>
      </c>
      <c r="B83" s="1"/>
      <c r="C83" s="2">
        <f>_xll.ciqfunctions.udf.CIQ("NasdaqGS:COST", "IQ_PRICE_VOL_HIST_YR", "28/08/2022")/100</f>
        <v>0.32844400000000001</v>
      </c>
      <c r="F83" s="17" t="s">
        <v>22</v>
      </c>
      <c r="G83" s="27">
        <f>G82-(G94*SQRT(C86))</f>
        <v>6.4256231602559026</v>
      </c>
    </row>
    <row r="84" spans="1:7" x14ac:dyDescent="0.3">
      <c r="A84" s="5" t="s">
        <v>5</v>
      </c>
      <c r="B84" s="1"/>
      <c r="C84" s="2">
        <f>_xll.ciqfunctions.udf.CIQ("NasdaqGS:COST", "IQ_TOTAL_LIAB", "FY2022")/1000</f>
        <v>43.518999999999998</v>
      </c>
      <c r="F84" s="17" t="s">
        <v>23</v>
      </c>
      <c r="G84" s="18">
        <f>NORMSDIST(G82)</f>
        <v>0.99999999998955802</v>
      </c>
    </row>
    <row r="85" spans="1:7" x14ac:dyDescent="0.3">
      <c r="A85" s="5" t="s">
        <v>6</v>
      </c>
      <c r="B85" s="1"/>
      <c r="C85" s="24">
        <v>3.1600000000000003E-2</v>
      </c>
      <c r="F85" s="17" t="s">
        <v>24</v>
      </c>
      <c r="G85" s="18">
        <f>NORMSDIST(G83)</f>
        <v>0.99999999993433486</v>
      </c>
    </row>
    <row r="86" spans="1:7" x14ac:dyDescent="0.3">
      <c r="A86" s="6" t="s">
        <v>7</v>
      </c>
      <c r="B86" s="3"/>
      <c r="C86" s="4">
        <v>1</v>
      </c>
      <c r="F86" s="17" t="s">
        <v>25</v>
      </c>
      <c r="G86" s="18">
        <f>(G93*G84)-(C84*G85*(EXP(-C85*C86)))</f>
        <v>212.59162292999997</v>
      </c>
    </row>
    <row r="87" spans="1:7" x14ac:dyDescent="0.3">
      <c r="F87" s="19" t="s">
        <v>26</v>
      </c>
      <c r="G87" s="20">
        <f>(G93/C82)*G94*G84</f>
        <v>0.32844400146740876</v>
      </c>
    </row>
    <row r="91" spans="1:7" x14ac:dyDescent="0.3">
      <c r="A91" s="32" t="s">
        <v>12</v>
      </c>
      <c r="B91" s="33"/>
    </row>
    <row r="92" spans="1:7" x14ac:dyDescent="0.3">
      <c r="A92" s="10" t="s">
        <v>13</v>
      </c>
      <c r="B92" s="11" t="s">
        <v>14</v>
      </c>
      <c r="F92" s="34" t="s">
        <v>27</v>
      </c>
      <c r="G92" s="35"/>
    </row>
    <row r="93" spans="1:7" x14ac:dyDescent="0.3">
      <c r="A93" s="12" t="s">
        <v>15</v>
      </c>
      <c r="B93" s="25">
        <f>C82-G86</f>
        <v>0</v>
      </c>
      <c r="F93" s="21" t="s">
        <v>28</v>
      </c>
      <c r="G93" s="22">
        <v>254.7569236228988</v>
      </c>
    </row>
    <row r="94" spans="1:7" x14ac:dyDescent="0.3">
      <c r="A94" s="12" t="s">
        <v>16</v>
      </c>
      <c r="B94" s="25">
        <f>C83-G87</f>
        <v>-1.4674087500665678E-9</v>
      </c>
      <c r="F94" s="21" t="s">
        <v>29</v>
      </c>
      <c r="G94" s="22">
        <v>0.27408261303102294</v>
      </c>
    </row>
    <row r="95" spans="1:7" x14ac:dyDescent="0.3">
      <c r="A95" s="12" t="s">
        <v>17</v>
      </c>
      <c r="B95" s="25">
        <f>(B93^2)+(B94^2)</f>
        <v>2.1532884397719268E-18</v>
      </c>
      <c r="F95" s="21" t="s">
        <v>30</v>
      </c>
      <c r="G95" s="22">
        <f>G83</f>
        <v>6.4256231602559026</v>
      </c>
    </row>
    <row r="96" spans="1:7" x14ac:dyDescent="0.3">
      <c r="A96" s="13" t="s">
        <v>18</v>
      </c>
      <c r="B96" s="26" t="str">
        <f>IF(B95&lt;0.01,"YES","NO")</f>
        <v>YES</v>
      </c>
      <c r="F96" s="23" t="s">
        <v>31</v>
      </c>
      <c r="G96" s="28">
        <f>NORMSDIST(-G83)</f>
        <v>6.5665191547532691E-11</v>
      </c>
    </row>
    <row r="100" spans="1:7" x14ac:dyDescent="0.3">
      <c r="A100" s="14" t="s">
        <v>0</v>
      </c>
      <c r="B100" s="29" t="s">
        <v>66</v>
      </c>
    </row>
    <row r="101" spans="1:7" x14ac:dyDescent="0.3">
      <c r="A101" s="14" t="s">
        <v>1</v>
      </c>
      <c r="B101" s="29">
        <v>2023</v>
      </c>
    </row>
    <row r="102" spans="1:7" x14ac:dyDescent="0.3">
      <c r="A102" s="14" t="s">
        <v>2</v>
      </c>
      <c r="B102" s="29" t="s">
        <v>43</v>
      </c>
    </row>
    <row r="104" spans="1:7" x14ac:dyDescent="0.3">
      <c r="A104" s="36" t="s">
        <v>11</v>
      </c>
      <c r="B104" s="37"/>
      <c r="C104" s="38"/>
      <c r="F104" s="39" t="s">
        <v>19</v>
      </c>
      <c r="G104" s="40"/>
    </row>
    <row r="105" spans="1:7" x14ac:dyDescent="0.3">
      <c r="A105" s="7" t="s">
        <v>8</v>
      </c>
      <c r="B105" s="8" t="s">
        <v>9</v>
      </c>
      <c r="C105" s="9" t="s">
        <v>10</v>
      </c>
      <c r="F105" s="15" t="s">
        <v>20</v>
      </c>
      <c r="G105" s="16" t="s">
        <v>10</v>
      </c>
    </row>
    <row r="106" spans="1:7" x14ac:dyDescent="0.3">
      <c r="A106" s="5" t="s">
        <v>3</v>
      </c>
      <c r="B106" s="1"/>
      <c r="C106" s="2">
        <f>_xll.ciqfunctions.udf.CIQ("NasdaqGS:COST", "IQ_MARKETCAP", "11/10/2023")/1000</f>
        <v>250.37864827999999</v>
      </c>
      <c r="F106" s="17" t="s">
        <v>21</v>
      </c>
      <c r="G106" s="27">
        <f>(LN(G117/C108)+((C109+(0.5*(G118^2)))*C110))/(G118*SQRT(C110))</f>
        <v>9.854678361666382</v>
      </c>
    </row>
    <row r="107" spans="1:7" x14ac:dyDescent="0.3">
      <c r="A107" s="5" t="s">
        <v>4</v>
      </c>
      <c r="B107" s="1"/>
      <c r="C107" s="2">
        <f>_xll.ciqfunctions.udf.CIQ("NasdaqGS:COST", "IQ_PRICE_VOL_HIST_YR", "03/09/2023")/100</f>
        <v>0.23288300000000001</v>
      </c>
      <c r="F107" s="17" t="s">
        <v>22</v>
      </c>
      <c r="G107" s="27">
        <f>G106-(G118*SQRT(C110))</f>
        <v>9.6550007955685864</v>
      </c>
    </row>
    <row r="108" spans="1:7" x14ac:dyDescent="0.3">
      <c r="A108" s="5" t="s">
        <v>5</v>
      </c>
      <c r="B108" s="1"/>
      <c r="C108" s="2">
        <f>_xll.ciqfunctions.udf.CIQ("NasdaqGS:COST", "IQ_TOTAL_LIAB", "FY2023")/1000</f>
        <v>43.936</v>
      </c>
      <c r="F108" s="17" t="s">
        <v>23</v>
      </c>
      <c r="G108" s="18">
        <f>NORMSDIST(G106)</f>
        <v>1</v>
      </c>
    </row>
    <row r="109" spans="1:7" x14ac:dyDescent="0.3">
      <c r="A109" s="5" t="s">
        <v>6</v>
      </c>
      <c r="B109" s="1"/>
      <c r="C109" s="24">
        <v>5.3749999999999999E-2</v>
      </c>
      <c r="F109" s="17" t="s">
        <v>24</v>
      </c>
      <c r="G109" s="18">
        <f>NORMSDIST(G107)</f>
        <v>1</v>
      </c>
    </row>
    <row r="110" spans="1:7" x14ac:dyDescent="0.3">
      <c r="A110" s="6" t="s">
        <v>7</v>
      </c>
      <c r="B110" s="3"/>
      <c r="C110" s="4">
        <v>1</v>
      </c>
      <c r="F110" s="17" t="s">
        <v>25</v>
      </c>
      <c r="G110" s="18">
        <f>(G117*G108)-(C108*G109*(EXP(-C109*C110)))</f>
        <v>250.37864827999999</v>
      </c>
    </row>
    <row r="111" spans="1:7" x14ac:dyDescent="0.3">
      <c r="F111" s="19" t="s">
        <v>26</v>
      </c>
      <c r="G111" s="20">
        <f>(G117/C106)*G118*G108</f>
        <v>0.2328830008717469</v>
      </c>
    </row>
    <row r="115" spans="1:7" x14ac:dyDescent="0.3">
      <c r="A115" s="32" t="s">
        <v>12</v>
      </c>
      <c r="B115" s="33"/>
    </row>
    <row r="116" spans="1:7" x14ac:dyDescent="0.3">
      <c r="A116" s="10" t="s">
        <v>13</v>
      </c>
      <c r="B116" s="11" t="s">
        <v>14</v>
      </c>
      <c r="F116" s="34" t="s">
        <v>27</v>
      </c>
      <c r="G116" s="35"/>
    </row>
    <row r="117" spans="1:7" x14ac:dyDescent="0.3">
      <c r="A117" s="12" t="s">
        <v>15</v>
      </c>
      <c r="B117" s="25">
        <f>C106-G110</f>
        <v>0</v>
      </c>
      <c r="F117" s="21" t="s">
        <v>28</v>
      </c>
      <c r="G117" s="22">
        <v>292.01543320645351</v>
      </c>
    </row>
    <row r="118" spans="1:7" x14ac:dyDescent="0.3">
      <c r="A118" s="12" t="s">
        <v>16</v>
      </c>
      <c r="B118" s="25">
        <f>C107-G111</f>
        <v>-8.7174689689106799E-10</v>
      </c>
      <c r="F118" s="21" t="s">
        <v>29</v>
      </c>
      <c r="G118" s="22">
        <v>0.19967756609779563</v>
      </c>
    </row>
    <row r="119" spans="1:7" x14ac:dyDescent="0.3">
      <c r="A119" s="12" t="s">
        <v>17</v>
      </c>
      <c r="B119" s="25">
        <f>(B117^2)+(B118^2)</f>
        <v>7.5994265223920633E-19</v>
      </c>
      <c r="F119" s="21" t="s">
        <v>30</v>
      </c>
      <c r="G119" s="22">
        <f>G107</f>
        <v>9.6550007955685864</v>
      </c>
    </row>
    <row r="120" spans="1:7" x14ac:dyDescent="0.3">
      <c r="A120" s="13" t="s">
        <v>18</v>
      </c>
      <c r="B120" s="26" t="str">
        <f>IF(B119&lt;0.01,"YES","NO")</f>
        <v>YES</v>
      </c>
      <c r="F120" s="23" t="s">
        <v>31</v>
      </c>
      <c r="G120" s="28">
        <f>NORMSDIST(-G107)</f>
        <v>2.3407782151937668E-22</v>
      </c>
    </row>
    <row r="124" spans="1:7" x14ac:dyDescent="0.3">
      <c r="A124" s="14" t="s">
        <v>0</v>
      </c>
      <c r="B124" s="29" t="s">
        <v>66</v>
      </c>
    </row>
    <row r="125" spans="1:7" x14ac:dyDescent="0.3">
      <c r="A125" s="14" t="s">
        <v>1</v>
      </c>
      <c r="B125" s="29">
        <v>2024</v>
      </c>
    </row>
    <row r="126" spans="1:7" x14ac:dyDescent="0.3">
      <c r="A126" s="14" t="s">
        <v>2</v>
      </c>
      <c r="B126" s="29" t="s">
        <v>44</v>
      </c>
    </row>
    <row r="128" spans="1:7" x14ac:dyDescent="0.3">
      <c r="A128" s="36" t="s">
        <v>11</v>
      </c>
      <c r="B128" s="37"/>
      <c r="C128" s="38"/>
      <c r="F128" s="39" t="s">
        <v>19</v>
      </c>
      <c r="G128" s="40"/>
    </row>
    <row r="129" spans="1:7" x14ac:dyDescent="0.3">
      <c r="A129" s="7" t="s">
        <v>8</v>
      </c>
      <c r="B129" s="8" t="s">
        <v>9</v>
      </c>
      <c r="C129" s="9" t="s">
        <v>10</v>
      </c>
      <c r="F129" s="15" t="s">
        <v>20</v>
      </c>
      <c r="G129" s="16" t="s">
        <v>10</v>
      </c>
    </row>
    <row r="130" spans="1:7" x14ac:dyDescent="0.3">
      <c r="A130" s="5" t="s">
        <v>3</v>
      </c>
      <c r="B130" s="1"/>
      <c r="C130" s="2">
        <f>_xll.ciqfunctions.udf.CIQ("NasdaqGS:COST", "IQ_MARKETCAP", "09/10/2024")/1000</f>
        <v>402.79815249000001</v>
      </c>
      <c r="F130" s="17" t="s">
        <v>21</v>
      </c>
      <c r="G130" s="27">
        <f>(LN(G141/C132)+((C133+(0.5*(G142^2)))*C134))/(G142*SQRT(C134))</f>
        <v>15.387313907262129</v>
      </c>
    </row>
    <row r="131" spans="1:7" x14ac:dyDescent="0.3">
      <c r="A131" s="5" t="s">
        <v>4</v>
      </c>
      <c r="B131" s="1"/>
      <c r="C131" s="2">
        <f>_xll.ciqfunctions.udf.CIQ("NasdaqGS:COST", "IQ_PRICE_VOL_HIST_YR", "01/09/2024")/100</f>
        <v>0.16755700000000001</v>
      </c>
      <c r="F131" s="17" t="s">
        <v>22</v>
      </c>
      <c r="G131" s="27">
        <f>G130-(G142*SQRT(C134))</f>
        <v>15.236367848542733</v>
      </c>
    </row>
    <row r="132" spans="1:7" x14ac:dyDescent="0.3">
      <c r="A132" s="5" t="s">
        <v>5</v>
      </c>
      <c r="B132" s="1"/>
      <c r="C132" s="2">
        <f>_xll.ciqfunctions.udf.CIQ("NasdaqGS:COST", "IQ_TOTAL_LIAB", "FY2024")/1000</f>
        <v>46.209000000000003</v>
      </c>
      <c r="F132" s="17" t="s">
        <v>23</v>
      </c>
      <c r="G132" s="18">
        <f>NORMSDIST(G130)</f>
        <v>1</v>
      </c>
    </row>
    <row r="133" spans="1:7" x14ac:dyDescent="0.3">
      <c r="A133" s="5" t="s">
        <v>6</v>
      </c>
      <c r="B133" s="1"/>
      <c r="C133" s="24">
        <v>4.1599999999999998E-2</v>
      </c>
      <c r="F133" s="17" t="s">
        <v>24</v>
      </c>
      <c r="G133" s="18">
        <f>NORMSDIST(G131)</f>
        <v>1</v>
      </c>
    </row>
    <row r="134" spans="1:7" x14ac:dyDescent="0.3">
      <c r="A134" s="6" t="s">
        <v>7</v>
      </c>
      <c r="B134" s="3"/>
      <c r="C134" s="4">
        <v>1</v>
      </c>
      <c r="F134" s="17" t="s">
        <v>25</v>
      </c>
      <c r="G134" s="18">
        <f>(G141*G132)-(C132*G133*(EXP(-C133*C134)))</f>
        <v>402.79815249000001</v>
      </c>
    </row>
    <row r="135" spans="1:7" x14ac:dyDescent="0.3">
      <c r="F135" s="19" t="s">
        <v>26</v>
      </c>
      <c r="G135" s="20">
        <f>(G141/C130)*G142*G132</f>
        <v>0.1675569994116923</v>
      </c>
    </row>
    <row r="139" spans="1:7" x14ac:dyDescent="0.3">
      <c r="A139" s="32" t="s">
        <v>12</v>
      </c>
      <c r="B139" s="33"/>
    </row>
    <row r="140" spans="1:7" x14ac:dyDescent="0.3">
      <c r="A140" s="10" t="s">
        <v>13</v>
      </c>
      <c r="B140" s="11" t="s">
        <v>14</v>
      </c>
      <c r="F140" s="34" t="s">
        <v>27</v>
      </c>
      <c r="G140" s="35"/>
    </row>
    <row r="141" spans="1:7" x14ac:dyDescent="0.3">
      <c r="A141" s="12" t="s">
        <v>15</v>
      </c>
      <c r="B141" s="25">
        <f>C130-G134</f>
        <v>0</v>
      </c>
      <c r="F141" s="21" t="s">
        <v>28</v>
      </c>
      <c r="G141" s="22">
        <v>447.12429309109592</v>
      </c>
    </row>
    <row r="142" spans="1:7" x14ac:dyDescent="0.3">
      <c r="A142" s="12" t="s">
        <v>16</v>
      </c>
      <c r="B142" s="25">
        <f>C131-G135</f>
        <v>5.8830770810480715E-10</v>
      </c>
      <c r="F142" s="21" t="s">
        <v>29</v>
      </c>
      <c r="G142" s="22">
        <v>0.15094605871939754</v>
      </c>
    </row>
    <row r="143" spans="1:7" x14ac:dyDescent="0.3">
      <c r="A143" s="12" t="s">
        <v>17</v>
      </c>
      <c r="B143" s="25">
        <f>(B141^2)+(B142^2)</f>
        <v>3.4610595941553097E-19</v>
      </c>
      <c r="F143" s="21" t="s">
        <v>30</v>
      </c>
      <c r="G143" s="22">
        <f>G131</f>
        <v>15.236367848542733</v>
      </c>
    </row>
    <row r="144" spans="1:7" x14ac:dyDescent="0.3">
      <c r="A144" s="13" t="s">
        <v>18</v>
      </c>
      <c r="B144" s="26" t="str">
        <f>IF(B143&lt;0.01,"YES","NO")</f>
        <v>YES</v>
      </c>
      <c r="F144" s="23" t="s">
        <v>31</v>
      </c>
      <c r="G144" s="28">
        <f>NORMSDIST(-G131)</f>
        <v>1.0141859975388157E-52</v>
      </c>
    </row>
  </sheetData>
  <mergeCells count="25">
    <mergeCell ref="F44:G44"/>
    <mergeCell ref="A56:C56"/>
    <mergeCell ref="F56:G56"/>
    <mergeCell ref="A67:B67"/>
    <mergeCell ref="A19:B19"/>
    <mergeCell ref="F20:G20"/>
    <mergeCell ref="A32:C32"/>
    <mergeCell ref="F32:G32"/>
    <mergeCell ref="A43:B43"/>
    <mergeCell ref="F1:H1"/>
    <mergeCell ref="F140:G140"/>
    <mergeCell ref="A80:C80"/>
    <mergeCell ref="F80:G80"/>
    <mergeCell ref="A91:B91"/>
    <mergeCell ref="F92:G92"/>
    <mergeCell ref="A104:C104"/>
    <mergeCell ref="F104:G104"/>
    <mergeCell ref="A115:B115"/>
    <mergeCell ref="F116:G116"/>
    <mergeCell ref="A128:C128"/>
    <mergeCell ref="F128:G128"/>
    <mergeCell ref="A139:B139"/>
    <mergeCell ref="F68:G68"/>
    <mergeCell ref="A8:C8"/>
    <mergeCell ref="F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SOLVE">
                <anchor moveWithCells="1">
                  <from>
                    <xdr:col>5</xdr:col>
                    <xdr:colOff>441960</xdr:colOff>
                    <xdr:row>4</xdr:row>
                    <xdr:rowOff>129540</xdr:rowOff>
                  </from>
                  <to>
                    <xdr:col>5</xdr:col>
                    <xdr:colOff>929640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RESET">
                <anchor moveWithCells="1">
                  <from>
                    <xdr:col>6</xdr:col>
                    <xdr:colOff>53340</xdr:colOff>
                    <xdr:row>4</xdr:row>
                    <xdr:rowOff>121920</xdr:rowOff>
                  </from>
                  <to>
                    <xdr:col>6</xdr:col>
                    <xdr:colOff>541020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D0BEF-52E5-4F8D-8A8E-11931DF2E39D}">
  <dimension ref="A1:H144"/>
  <sheetViews>
    <sheetView zoomScale="110" zoomScaleNormal="110" workbookViewId="0">
      <selection activeCell="F1" sqref="F1:H1"/>
    </sheetView>
  </sheetViews>
  <sheetFormatPr defaultRowHeight="14.4" x14ac:dyDescent="0.3"/>
  <cols>
    <col min="1" max="1" width="49.21875" bestFit="1" customWidth="1"/>
    <col min="2" max="2" width="22.33203125" bestFit="1" customWidth="1"/>
    <col min="3" max="3" width="12" bestFit="1" customWidth="1"/>
    <col min="6" max="6" width="20.5546875" bestFit="1" customWidth="1"/>
    <col min="7" max="7" width="12" bestFit="1" customWidth="1"/>
  </cols>
  <sheetData>
    <row r="1" spans="1:8" x14ac:dyDescent="0.3">
      <c r="A1" s="14" t="s">
        <v>0</v>
      </c>
      <c r="B1" s="29" t="s">
        <v>65</v>
      </c>
      <c r="F1" s="31" t="s">
        <v>63</v>
      </c>
      <c r="G1" s="31"/>
      <c r="H1" s="31"/>
    </row>
    <row r="2" spans="1:8" x14ac:dyDescent="0.3">
      <c r="A2" s="14" t="s">
        <v>1</v>
      </c>
      <c r="B2" s="29">
        <v>2019</v>
      </c>
    </row>
    <row r="3" spans="1:8" x14ac:dyDescent="0.3">
      <c r="A3" s="14" t="s">
        <v>2</v>
      </c>
      <c r="B3" s="29" t="s">
        <v>50</v>
      </c>
    </row>
    <row r="8" spans="1:8" x14ac:dyDescent="0.3">
      <c r="A8" s="36" t="s">
        <v>11</v>
      </c>
      <c r="B8" s="37"/>
      <c r="C8" s="38"/>
      <c r="F8" s="39" t="s">
        <v>19</v>
      </c>
      <c r="G8" s="40"/>
    </row>
    <row r="9" spans="1:8" x14ac:dyDescent="0.3">
      <c r="A9" s="7" t="s">
        <v>8</v>
      </c>
      <c r="B9" s="8" t="s">
        <v>9</v>
      </c>
      <c r="C9" s="9" t="s">
        <v>10</v>
      </c>
      <c r="F9" s="15" t="s">
        <v>20</v>
      </c>
      <c r="G9" s="16" t="s">
        <v>10</v>
      </c>
    </row>
    <row r="10" spans="1:8" x14ac:dyDescent="0.3">
      <c r="A10" s="5" t="s">
        <v>3</v>
      </c>
      <c r="B10" s="1" t="s">
        <v>45</v>
      </c>
      <c r="C10" s="2">
        <f>_xll.ciqfunctions.udf.CIQ("NYSE:BABA", "IQ_MARKETCAP", "05/06/2019", "USD")/1000</f>
        <v>394.82558124000002</v>
      </c>
      <c r="F10" s="17" t="s">
        <v>21</v>
      </c>
      <c r="G10" s="27">
        <f>(LN(G21/C12)+((C13+(0.5*(G22^2)))*C14))/(G22*SQRT(C14))</f>
        <v>7.9644365777988826</v>
      </c>
    </row>
    <row r="11" spans="1:8" x14ac:dyDescent="0.3">
      <c r="A11" s="5" t="s">
        <v>4</v>
      </c>
      <c r="B11" s="1" t="s">
        <v>46</v>
      </c>
      <c r="C11" s="2">
        <f>_xll.ciqfunctions.udf.CIQ("NYSE:BABA", "IQ_PRICE_VOL_HIST_YR", "31/03/2019")/100</f>
        <v>0.31126000000000004</v>
      </c>
      <c r="F11" s="17" t="s">
        <v>22</v>
      </c>
      <c r="G11" s="27">
        <f>G10-(G22*SQRT(C14))</f>
        <v>7.6893114745598332</v>
      </c>
    </row>
    <row r="12" spans="1:8" x14ac:dyDescent="0.3">
      <c r="A12" s="5" t="s">
        <v>5</v>
      </c>
      <c r="B12" s="1" t="s">
        <v>47</v>
      </c>
      <c r="C12" s="2">
        <f>_xll.ciqfunctions.udf.CIQ("NYSE:BABA", "IQ_TOTAL_LIAB", "FY2019", , , , "USD")/1000</f>
        <v>53.115948680000002</v>
      </c>
      <c r="F12" s="17" t="s">
        <v>23</v>
      </c>
      <c r="G12" s="18">
        <f>NORMSDIST(G10)</f>
        <v>0.99999999999999922</v>
      </c>
    </row>
    <row r="13" spans="1:8" x14ac:dyDescent="0.3">
      <c r="A13" s="5" t="s">
        <v>6</v>
      </c>
      <c r="B13" s="1" t="s">
        <v>48</v>
      </c>
      <c r="C13" s="24">
        <v>2.4E-2</v>
      </c>
      <c r="F13" s="17" t="s">
        <v>24</v>
      </c>
      <c r="G13" s="18">
        <f>NORMSDIST(G11)</f>
        <v>0.99999999999999256</v>
      </c>
    </row>
    <row r="14" spans="1:8" x14ac:dyDescent="0.3">
      <c r="A14" s="6" t="s">
        <v>7</v>
      </c>
      <c r="B14" s="3"/>
      <c r="C14" s="4">
        <v>1</v>
      </c>
      <c r="F14" s="17" t="s">
        <v>25</v>
      </c>
      <c r="G14" s="18">
        <f>(G21*G12)-(C12*G13*(EXP(-C13*C14)))</f>
        <v>394.82558124000008</v>
      </c>
    </row>
    <row r="15" spans="1:8" x14ac:dyDescent="0.3">
      <c r="F15" s="19" t="s">
        <v>26</v>
      </c>
      <c r="G15" s="20">
        <f>(G21/C10)*G22*G12</f>
        <v>0.31125999932922044</v>
      </c>
    </row>
    <row r="19" spans="1:7" x14ac:dyDescent="0.3">
      <c r="A19" s="32" t="s">
        <v>12</v>
      </c>
      <c r="B19" s="33"/>
    </row>
    <row r="20" spans="1:7" x14ac:dyDescent="0.3">
      <c r="A20" s="10" t="s">
        <v>13</v>
      </c>
      <c r="B20" s="11" t="s">
        <v>14</v>
      </c>
      <c r="F20" s="34" t="s">
        <v>27</v>
      </c>
      <c r="G20" s="35"/>
    </row>
    <row r="21" spans="1:7" x14ac:dyDescent="0.3">
      <c r="A21" s="12" t="s">
        <v>15</v>
      </c>
      <c r="B21" s="25">
        <f>C10-G14</f>
        <v>0</v>
      </c>
      <c r="F21" s="21" t="s">
        <v>28</v>
      </c>
      <c r="G21" s="22">
        <v>446.68192289651853</v>
      </c>
    </row>
    <row r="22" spans="1:7" x14ac:dyDescent="0.3">
      <c r="A22" s="12" t="s">
        <v>16</v>
      </c>
      <c r="B22" s="25">
        <f>C11-G15</f>
        <v>6.7077959853278912E-10</v>
      </c>
      <c r="F22" s="21" t="s">
        <v>29</v>
      </c>
      <c r="G22" s="22">
        <v>0.27512510323904893</v>
      </c>
    </row>
    <row r="23" spans="1:7" x14ac:dyDescent="0.3">
      <c r="A23" s="12" t="s">
        <v>17</v>
      </c>
      <c r="B23" s="25">
        <f>(B21^2)+(B22^2)</f>
        <v>4.4994526980780975E-19</v>
      </c>
      <c r="F23" s="21" t="s">
        <v>30</v>
      </c>
      <c r="G23" s="22">
        <f>G11</f>
        <v>7.6893114745598332</v>
      </c>
    </row>
    <row r="24" spans="1:7" x14ac:dyDescent="0.3">
      <c r="A24" s="13" t="s">
        <v>18</v>
      </c>
      <c r="B24" s="26" t="str">
        <f>IF(B23&lt;0.01,"YES","NO")</f>
        <v>YES</v>
      </c>
      <c r="F24" s="23" t="s">
        <v>31</v>
      </c>
      <c r="G24" s="28">
        <f>NORMSDIST(-G11)</f>
        <v>7.3964466684235872E-15</v>
      </c>
    </row>
    <row r="28" spans="1:7" x14ac:dyDescent="0.3">
      <c r="A28" s="14" t="s">
        <v>0</v>
      </c>
      <c r="B28" s="29" t="s">
        <v>65</v>
      </c>
    </row>
    <row r="29" spans="1:7" x14ac:dyDescent="0.3">
      <c r="A29" s="14" t="s">
        <v>1</v>
      </c>
      <c r="B29" s="29">
        <v>2020</v>
      </c>
    </row>
    <row r="30" spans="1:7" x14ac:dyDescent="0.3">
      <c r="A30" s="14" t="s">
        <v>2</v>
      </c>
      <c r="B30" s="29" t="s">
        <v>51</v>
      </c>
    </row>
    <row r="32" spans="1:7" x14ac:dyDescent="0.3">
      <c r="A32" s="36" t="s">
        <v>11</v>
      </c>
      <c r="B32" s="37"/>
      <c r="C32" s="38"/>
      <c r="F32" s="39" t="s">
        <v>19</v>
      </c>
      <c r="G32" s="40"/>
    </row>
    <row r="33" spans="1:7" x14ac:dyDescent="0.3">
      <c r="A33" s="7" t="s">
        <v>8</v>
      </c>
      <c r="B33" s="8" t="s">
        <v>9</v>
      </c>
      <c r="C33" s="9" t="s">
        <v>10</v>
      </c>
      <c r="F33" s="15" t="s">
        <v>20</v>
      </c>
      <c r="G33" s="16" t="s">
        <v>10</v>
      </c>
    </row>
    <row r="34" spans="1:7" x14ac:dyDescent="0.3">
      <c r="A34" s="5" t="s">
        <v>3</v>
      </c>
      <c r="B34" s="1"/>
      <c r="C34" s="2">
        <f>_xll.ciqfunctions.udf.CIQ("NYSE:BABA", "IQ_MARKETCAP", "09/07/2020", "USD")/1000</f>
        <v>707.48578755999995</v>
      </c>
      <c r="F34" s="17" t="s">
        <v>21</v>
      </c>
      <c r="G34" s="27">
        <f>(LN(G45/C36)+((C37+(0.5*(G46^2)))*C38))/(G46*SQRT(C38))</f>
        <v>8.8219319980189255</v>
      </c>
    </row>
    <row r="35" spans="1:7" x14ac:dyDescent="0.3">
      <c r="A35" s="5" t="s">
        <v>4</v>
      </c>
      <c r="B35" s="1"/>
      <c r="C35" s="2">
        <f>_xll.ciqfunctions.udf.CIQ("NYSE:BABA", "IQ_PRICE_VOL_HIST_YR", "31/03/2020")/100</f>
        <v>0.31707200000000002</v>
      </c>
      <c r="F35" s="17" t="s">
        <v>22</v>
      </c>
      <c r="G35" s="27">
        <f>G34-(G46*SQRT(C38))</f>
        <v>8.5300601361257584</v>
      </c>
    </row>
    <row r="36" spans="1:7" x14ac:dyDescent="0.3">
      <c r="A36" s="5" t="s">
        <v>5</v>
      </c>
      <c r="B36" s="1"/>
      <c r="C36" s="2">
        <f>_xll.ciqfunctions.udf.CIQ("NYSE:BABA", "IQ_TOTAL_LIAB", "FY2020", , , , "USD")/1000</f>
        <v>61.188082469999998</v>
      </c>
      <c r="F36" s="17" t="s">
        <v>23</v>
      </c>
      <c r="G36" s="18">
        <f>NORMSDIST(G34)</f>
        <v>1</v>
      </c>
    </row>
    <row r="37" spans="1:7" x14ac:dyDescent="0.3">
      <c r="A37" s="5" t="s">
        <v>6</v>
      </c>
      <c r="B37" s="1"/>
      <c r="C37" s="24">
        <v>1.6999999999999999E-3</v>
      </c>
      <c r="F37" s="17" t="s">
        <v>24</v>
      </c>
      <c r="G37" s="18">
        <f>NORMSDIST(G35)</f>
        <v>1</v>
      </c>
    </row>
    <row r="38" spans="1:7" x14ac:dyDescent="0.3">
      <c r="A38" s="6" t="s">
        <v>7</v>
      </c>
      <c r="B38" s="3"/>
      <c r="C38" s="4">
        <v>1</v>
      </c>
      <c r="F38" s="17" t="s">
        <v>25</v>
      </c>
      <c r="G38" s="18">
        <f>(G45*G36)-(C36*G37*(EXP(-C37*C38)))</f>
        <v>707.48578755999995</v>
      </c>
    </row>
    <row r="39" spans="1:7" x14ac:dyDescent="0.3">
      <c r="F39" s="19" t="s">
        <v>26</v>
      </c>
      <c r="G39" s="20">
        <f>(G45/C34)*G46*G36</f>
        <v>0.31707200757268333</v>
      </c>
    </row>
    <row r="43" spans="1:7" x14ac:dyDescent="0.3">
      <c r="A43" s="32" t="s">
        <v>12</v>
      </c>
      <c r="B43" s="33"/>
    </row>
    <row r="44" spans="1:7" x14ac:dyDescent="0.3">
      <c r="A44" s="10" t="s">
        <v>13</v>
      </c>
      <c r="B44" s="11" t="s">
        <v>14</v>
      </c>
      <c r="F44" s="34" t="s">
        <v>27</v>
      </c>
      <c r="G44" s="35"/>
    </row>
    <row r="45" spans="1:7" x14ac:dyDescent="0.3">
      <c r="A45" s="12" t="s">
        <v>15</v>
      </c>
      <c r="B45" s="25">
        <f>C34-G38</f>
        <v>0</v>
      </c>
      <c r="F45" s="21" t="s">
        <v>28</v>
      </c>
      <c r="G45" s="22">
        <v>768.56993865649861</v>
      </c>
    </row>
    <row r="46" spans="1:7" x14ac:dyDescent="0.3">
      <c r="A46" s="12" t="s">
        <v>16</v>
      </c>
      <c r="B46" s="25">
        <f>C35-G39</f>
        <v>-7.5726833137501615E-9</v>
      </c>
      <c r="F46" s="21" t="s">
        <v>29</v>
      </c>
      <c r="G46" s="22">
        <v>0.29187186189316794</v>
      </c>
    </row>
    <row r="47" spans="1:7" x14ac:dyDescent="0.3">
      <c r="A47" s="12" t="s">
        <v>17</v>
      </c>
      <c r="B47" s="25">
        <f>(B45^2)+(B46^2)</f>
        <v>5.7345532570350123E-17</v>
      </c>
      <c r="F47" s="21" t="s">
        <v>30</v>
      </c>
      <c r="G47" s="22">
        <f>G35</f>
        <v>8.5300601361257584</v>
      </c>
    </row>
    <row r="48" spans="1:7" x14ac:dyDescent="0.3">
      <c r="A48" s="13" t="s">
        <v>18</v>
      </c>
      <c r="B48" s="26" t="str">
        <f>IF(B47&lt;0.01,"YES","NO")</f>
        <v>YES</v>
      </c>
      <c r="F48" s="23" t="s">
        <v>31</v>
      </c>
      <c r="G48" s="28">
        <f>NORMSDIST(-G35)</f>
        <v>7.313583011732286E-18</v>
      </c>
    </row>
    <row r="52" spans="1:7" x14ac:dyDescent="0.3">
      <c r="A52" s="14" t="s">
        <v>0</v>
      </c>
      <c r="B52" s="29" t="s">
        <v>65</v>
      </c>
    </row>
    <row r="53" spans="1:7" x14ac:dyDescent="0.3">
      <c r="A53" s="14" t="s">
        <v>1</v>
      </c>
      <c r="B53" s="29">
        <v>2021</v>
      </c>
    </row>
    <row r="54" spans="1:7" x14ac:dyDescent="0.3">
      <c r="A54" s="14" t="s">
        <v>2</v>
      </c>
      <c r="B54" s="29" t="s">
        <v>52</v>
      </c>
    </row>
    <row r="56" spans="1:7" x14ac:dyDescent="0.3">
      <c r="A56" s="36" t="s">
        <v>11</v>
      </c>
      <c r="B56" s="37"/>
      <c r="C56" s="38"/>
      <c r="F56" s="39" t="s">
        <v>19</v>
      </c>
      <c r="G56" s="40"/>
    </row>
    <row r="57" spans="1:7" x14ac:dyDescent="0.3">
      <c r="A57" s="7" t="s">
        <v>8</v>
      </c>
      <c r="B57" s="8" t="s">
        <v>9</v>
      </c>
      <c r="C57" s="9" t="s">
        <v>10</v>
      </c>
      <c r="F57" s="15" t="s">
        <v>20</v>
      </c>
      <c r="G57" s="16" t="s">
        <v>10</v>
      </c>
    </row>
    <row r="58" spans="1:7" x14ac:dyDescent="0.3">
      <c r="A58" s="5" t="s">
        <v>3</v>
      </c>
      <c r="B58" s="1"/>
      <c r="C58" s="2">
        <f>_xll.ciqfunctions.udf.CIQ("NYSE:BABA", "IQ_MARKETCAP", "27/07/2021", "USD")/1000</f>
        <v>505.77161268000003</v>
      </c>
      <c r="F58" s="17" t="s">
        <v>21</v>
      </c>
      <c r="G58" s="27">
        <f>(LN(G69/C60)+((C61+(0.5*(G70^2)))*C62))/(G70*SQRT(C62))</f>
        <v>6.1438267291299278</v>
      </c>
    </row>
    <row r="59" spans="1:7" x14ac:dyDescent="0.3">
      <c r="A59" s="5" t="s">
        <v>4</v>
      </c>
      <c r="B59" s="1"/>
      <c r="C59" s="2">
        <f>_xll.ciqfunctions.udf.CIQ("NYSE:BABA", "IQ_PRICE_VOL_HIST_YR", "31/03/2021")/100</f>
        <v>0.36877599999999999</v>
      </c>
      <c r="F59" s="17" t="s">
        <v>22</v>
      </c>
      <c r="G59" s="27">
        <f>G58-(G70*SQRT(C62))</f>
        <v>5.8320714419252058</v>
      </c>
    </row>
    <row r="60" spans="1:7" x14ac:dyDescent="0.3">
      <c r="A60" s="5" t="s">
        <v>5</v>
      </c>
      <c r="B60" s="1"/>
      <c r="C60" s="2">
        <f>_xll.ciqfunctions.udf.CIQ("NYSE:BABA", "IQ_TOTAL_LIAB", "FY2021", , , , "USD")/1000</f>
        <v>92.57149819</v>
      </c>
      <c r="F60" s="17" t="s">
        <v>23</v>
      </c>
      <c r="G60" s="18">
        <f>NORMSDIST(G58)</f>
        <v>0.99999999959721642</v>
      </c>
    </row>
    <row r="61" spans="1:7" x14ac:dyDescent="0.3">
      <c r="A61" s="5" t="s">
        <v>6</v>
      </c>
      <c r="B61" s="1"/>
      <c r="C61" s="24">
        <v>6.9999999999999999E-4</v>
      </c>
      <c r="F61" s="17" t="s">
        <v>24</v>
      </c>
      <c r="G61" s="18">
        <f>NORMSDIST(G59)</f>
        <v>0.99999999726282651</v>
      </c>
    </row>
    <row r="62" spans="1:7" x14ac:dyDescent="0.3">
      <c r="A62" s="6" t="s">
        <v>7</v>
      </c>
      <c r="B62" s="3"/>
      <c r="C62" s="4">
        <v>1</v>
      </c>
      <c r="F62" s="17" t="s">
        <v>25</v>
      </c>
      <c r="G62" s="18">
        <f>(G69*G60)-(C60*G61*(EXP(-C61*C62)))</f>
        <v>505.77161267999833</v>
      </c>
    </row>
    <row r="63" spans="1:7" x14ac:dyDescent="0.3">
      <c r="F63" s="19" t="s">
        <v>26</v>
      </c>
      <c r="G63" s="20">
        <f>(G69/C58)*G70*G60</f>
        <v>0.36877600271028821</v>
      </c>
    </row>
    <row r="67" spans="1:7" x14ac:dyDescent="0.3">
      <c r="A67" s="32" t="s">
        <v>12</v>
      </c>
      <c r="B67" s="33"/>
    </row>
    <row r="68" spans="1:7" x14ac:dyDescent="0.3">
      <c r="A68" s="10" t="s">
        <v>13</v>
      </c>
      <c r="B68" s="11" t="s">
        <v>14</v>
      </c>
      <c r="F68" s="34" t="s">
        <v>27</v>
      </c>
      <c r="G68" s="35"/>
    </row>
    <row r="69" spans="1:7" x14ac:dyDescent="0.3">
      <c r="A69" s="12" t="s">
        <v>15</v>
      </c>
      <c r="B69" s="25">
        <f>C58-G62</f>
        <v>1.7053025658242404E-12</v>
      </c>
      <c r="F69" s="21" t="s">
        <v>28</v>
      </c>
      <c r="G69" s="22">
        <v>598.278333483761</v>
      </c>
    </row>
    <row r="70" spans="1:7" x14ac:dyDescent="0.3">
      <c r="A70" s="12" t="s">
        <v>16</v>
      </c>
      <c r="B70" s="25">
        <f>C59-G63</f>
        <v>-2.7102882160789932E-9</v>
      </c>
      <c r="F70" s="21" t="s">
        <v>29</v>
      </c>
      <c r="G70" s="22">
        <v>0.3117552872047219</v>
      </c>
    </row>
    <row r="71" spans="1:7" x14ac:dyDescent="0.3">
      <c r="A71" s="12" t="s">
        <v>17</v>
      </c>
      <c r="B71" s="25">
        <f>(B69^2)+(B70^2)</f>
        <v>7.3456651222734922E-18</v>
      </c>
      <c r="F71" s="21" t="s">
        <v>30</v>
      </c>
      <c r="G71" s="22">
        <f>G59</f>
        <v>5.8320714419252058</v>
      </c>
    </row>
    <row r="72" spans="1:7" x14ac:dyDescent="0.3">
      <c r="A72" s="13" t="s">
        <v>18</v>
      </c>
      <c r="B72" s="26" t="str">
        <f>IF(B71&lt;0.01,"YES","NO")</f>
        <v>YES</v>
      </c>
      <c r="F72" s="23" t="s">
        <v>31</v>
      </c>
      <c r="G72" s="28">
        <f>NORMSDIST(-G59)</f>
        <v>2.7371734546481531E-9</v>
      </c>
    </row>
    <row r="76" spans="1:7" x14ac:dyDescent="0.3">
      <c r="A76" s="14" t="s">
        <v>0</v>
      </c>
      <c r="B76" s="29" t="s">
        <v>65</v>
      </c>
    </row>
    <row r="77" spans="1:7" x14ac:dyDescent="0.3">
      <c r="A77" s="14" t="s">
        <v>1</v>
      </c>
      <c r="B77" s="29">
        <v>2022</v>
      </c>
    </row>
    <row r="78" spans="1:7" x14ac:dyDescent="0.3">
      <c r="A78" s="14" t="s">
        <v>2</v>
      </c>
      <c r="B78" s="29" t="s">
        <v>53</v>
      </c>
    </row>
    <row r="80" spans="1:7" x14ac:dyDescent="0.3">
      <c r="A80" s="36" t="s">
        <v>11</v>
      </c>
      <c r="B80" s="37"/>
      <c r="C80" s="38"/>
      <c r="F80" s="39" t="s">
        <v>19</v>
      </c>
      <c r="G80" s="40"/>
    </row>
    <row r="81" spans="1:7" x14ac:dyDescent="0.3">
      <c r="A81" s="7" t="s">
        <v>8</v>
      </c>
      <c r="B81" s="8" t="s">
        <v>9</v>
      </c>
      <c r="C81" s="9" t="s">
        <v>10</v>
      </c>
      <c r="F81" s="15" t="s">
        <v>20</v>
      </c>
      <c r="G81" s="16" t="s">
        <v>10</v>
      </c>
    </row>
    <row r="82" spans="1:7" x14ac:dyDescent="0.3">
      <c r="A82" s="5" t="s">
        <v>3</v>
      </c>
      <c r="B82" s="1"/>
      <c r="C82" s="2">
        <f>_xll.ciqfunctions.udf.CIQ("NYSE:BABA", "IQ_MARKETCAP", "26/07/2022", "USD")/1000</f>
        <v>268.62716366000001</v>
      </c>
      <c r="F82" s="17" t="s">
        <v>21</v>
      </c>
      <c r="G82" s="27">
        <f>(LN(G93/C84)+((C85+(0.5*(G94^2)))*C86))/(G94*SQRT(C86))</f>
        <v>3.6068346472657709</v>
      </c>
    </row>
    <row r="83" spans="1:7" x14ac:dyDescent="0.3">
      <c r="A83" s="5" t="s">
        <v>4</v>
      </c>
      <c r="B83" s="1"/>
      <c r="C83" s="2">
        <f>_xll.ciqfunctions.udf.CIQ("NYSE:BABA", "IQ_PRICE_VOL_HIST_YR", "31/03/2022")/100</f>
        <v>0.53239599999999998</v>
      </c>
      <c r="F83" s="17" t="s">
        <v>22</v>
      </c>
      <c r="G83" s="27">
        <f>G82-(G94*SQRT(C86))</f>
        <v>3.2136597851267945</v>
      </c>
    </row>
    <row r="84" spans="1:7" x14ac:dyDescent="0.3">
      <c r="A84" s="5" t="s">
        <v>5</v>
      </c>
      <c r="B84" s="1"/>
      <c r="C84" s="2">
        <f>_xll.ciqfunctions.udf.CIQ("NYSE:BABA", "IQ_TOTAL_LIAB", "FY2022", , , , "USD")/1000</f>
        <v>96.746005150000002</v>
      </c>
      <c r="F84" s="17" t="s">
        <v>23</v>
      </c>
      <c r="G84" s="18">
        <f>NORMSDIST(G82)</f>
        <v>0.9998450224809835</v>
      </c>
    </row>
    <row r="85" spans="1:7" x14ac:dyDescent="0.3">
      <c r="A85" s="5" t="s">
        <v>6</v>
      </c>
      <c r="B85" s="1"/>
      <c r="C85" s="24">
        <v>1.6299999999999999E-2</v>
      </c>
      <c r="F85" s="17" t="s">
        <v>24</v>
      </c>
      <c r="G85" s="18">
        <f>NORMSDIST(G83)</f>
        <v>0.99934472571857258</v>
      </c>
    </row>
    <row r="86" spans="1:7" x14ac:dyDescent="0.3">
      <c r="A86" s="6" t="s">
        <v>7</v>
      </c>
      <c r="B86" s="3"/>
      <c r="C86" s="4">
        <v>1</v>
      </c>
      <c r="F86" s="17" t="s">
        <v>25</v>
      </c>
      <c r="G86" s="18">
        <f>(G93*G84)-(C84*G85*(EXP(-C85*C86)))</f>
        <v>268.62716365485909</v>
      </c>
    </row>
    <row r="87" spans="1:7" x14ac:dyDescent="0.3">
      <c r="F87" s="19" t="s">
        <v>26</v>
      </c>
      <c r="G87" s="20">
        <f>(G93/C82)*G94*G84</f>
        <v>0.53239600110149721</v>
      </c>
    </row>
    <row r="91" spans="1:7" x14ac:dyDescent="0.3">
      <c r="A91" s="32" t="s">
        <v>12</v>
      </c>
      <c r="B91" s="33"/>
    </row>
    <row r="92" spans="1:7" x14ac:dyDescent="0.3">
      <c r="A92" s="10" t="s">
        <v>13</v>
      </c>
      <c r="B92" s="11" t="s">
        <v>14</v>
      </c>
      <c r="F92" s="34" t="s">
        <v>27</v>
      </c>
      <c r="G92" s="35"/>
    </row>
    <row r="93" spans="1:7" x14ac:dyDescent="0.3">
      <c r="A93" s="12" t="s">
        <v>15</v>
      </c>
      <c r="B93" s="25">
        <f>C82-G86</f>
        <v>5.1409188017714769E-9</v>
      </c>
      <c r="F93" s="21" t="s">
        <v>28</v>
      </c>
      <c r="G93" s="22">
        <v>363.80300268004635</v>
      </c>
    </row>
    <row r="94" spans="1:7" x14ac:dyDescent="0.3">
      <c r="A94" s="12" t="s">
        <v>16</v>
      </c>
      <c r="B94" s="25">
        <f>C83-G87</f>
        <v>-1.1014972267631151E-9</v>
      </c>
      <c r="F94" s="21" t="s">
        <v>29</v>
      </c>
      <c r="G94" s="22">
        <v>0.39317486213897646</v>
      </c>
    </row>
    <row r="95" spans="1:7" x14ac:dyDescent="0.3">
      <c r="A95" s="12" t="s">
        <v>17</v>
      </c>
      <c r="B95" s="25">
        <f>(B93^2)+(B94^2)</f>
        <v>2.7642342266974311E-17</v>
      </c>
      <c r="F95" s="21" t="s">
        <v>30</v>
      </c>
      <c r="G95" s="22">
        <f>G83</f>
        <v>3.2136597851267945</v>
      </c>
    </row>
    <row r="96" spans="1:7" x14ac:dyDescent="0.3">
      <c r="A96" s="13" t="s">
        <v>18</v>
      </c>
      <c r="B96" s="26" t="str">
        <f>IF(B95&lt;0.01,"YES","NO")</f>
        <v>YES</v>
      </c>
      <c r="F96" s="23" t="s">
        <v>31</v>
      </c>
      <c r="G96" s="28">
        <f>NORMSDIST(-G83)</f>
        <v>6.5527428142738667E-4</v>
      </c>
    </row>
    <row r="100" spans="1:7" x14ac:dyDescent="0.3">
      <c r="A100" s="14" t="s">
        <v>0</v>
      </c>
      <c r="B100" s="29" t="s">
        <v>65</v>
      </c>
    </row>
    <row r="101" spans="1:7" x14ac:dyDescent="0.3">
      <c r="A101" s="14" t="s">
        <v>1</v>
      </c>
      <c r="B101" s="29">
        <v>2023</v>
      </c>
    </row>
    <row r="102" spans="1:7" x14ac:dyDescent="0.3">
      <c r="A102" s="14" t="s">
        <v>2</v>
      </c>
      <c r="B102" s="29" t="s">
        <v>54</v>
      </c>
    </row>
    <row r="104" spans="1:7" x14ac:dyDescent="0.3">
      <c r="A104" s="36" t="s">
        <v>11</v>
      </c>
      <c r="B104" s="37"/>
      <c r="C104" s="38"/>
      <c r="F104" s="39" t="s">
        <v>19</v>
      </c>
      <c r="G104" s="40"/>
    </row>
    <row r="105" spans="1:7" x14ac:dyDescent="0.3">
      <c r="A105" s="7" t="s">
        <v>8</v>
      </c>
      <c r="B105" s="8" t="s">
        <v>9</v>
      </c>
      <c r="C105" s="9" t="s">
        <v>10</v>
      </c>
      <c r="F105" s="15" t="s">
        <v>20</v>
      </c>
      <c r="G105" s="16" t="s">
        <v>10</v>
      </c>
    </row>
    <row r="106" spans="1:7" x14ac:dyDescent="0.3">
      <c r="A106" s="5" t="s">
        <v>3</v>
      </c>
      <c r="B106" s="1"/>
      <c r="C106" s="2">
        <f>_xll.ciqfunctions.udf.CIQ("NYSE:BABA", "IQ_MARKETCAP", "21/07/2023", "USD")/1000</f>
        <v>234.73669002</v>
      </c>
      <c r="F106" s="17" t="s">
        <v>21</v>
      </c>
      <c r="G106" s="27">
        <f>(LN(G117/C108)+((C109+(0.5*(G118^2)))*C110))/(G118*SQRT(C110))</f>
        <v>3.1487031548520252</v>
      </c>
    </row>
    <row r="107" spans="1:7" x14ac:dyDescent="0.3">
      <c r="A107" s="5" t="s">
        <v>4</v>
      </c>
      <c r="B107" s="1"/>
      <c r="C107" s="2">
        <f>_xll.ciqfunctions.udf.CIQ("NYSE:BABA", "IQ_PRICE_VOL_HIST_YR", "31/03/2023")/100</f>
        <v>0.61104000000000003</v>
      </c>
      <c r="F107" s="17" t="s">
        <v>22</v>
      </c>
      <c r="G107" s="27">
        <f>G106-(G118*SQRT(C110))</f>
        <v>2.7031485040844974</v>
      </c>
    </row>
    <row r="108" spans="1:7" x14ac:dyDescent="0.3">
      <c r="A108" s="5" t="s">
        <v>5</v>
      </c>
      <c r="B108" s="1"/>
      <c r="C108" s="2">
        <f>_xll.ciqfunctions.udf.CIQ("NYSE:BABA", "IQ_TOTAL_LIAB", "FY2023", , , , "USD")/1000</f>
        <v>91.73164281999999</v>
      </c>
      <c r="F108" s="17" t="s">
        <v>23</v>
      </c>
      <c r="G108" s="18">
        <f>NORMSDIST(G106)</f>
        <v>0.99918001655607203</v>
      </c>
    </row>
    <row r="109" spans="1:7" x14ac:dyDescent="0.3">
      <c r="A109" s="5" t="s">
        <v>6</v>
      </c>
      <c r="B109" s="1"/>
      <c r="C109" s="24">
        <v>4.7399999999999998E-2</v>
      </c>
      <c r="F109" s="17" t="s">
        <v>24</v>
      </c>
      <c r="G109" s="18">
        <f>NORMSDIST(G107)</f>
        <v>0.99656569743348689</v>
      </c>
    </row>
    <row r="110" spans="1:7" x14ac:dyDescent="0.3">
      <c r="A110" s="6" t="s">
        <v>7</v>
      </c>
      <c r="B110" s="3"/>
      <c r="C110" s="4">
        <v>1</v>
      </c>
      <c r="F110" s="17" t="s">
        <v>25</v>
      </c>
      <c r="G110" s="18">
        <f>(G117*G108)-(C108*G109*(EXP(-C109*C110)))</f>
        <v>234.73669001469565</v>
      </c>
    </row>
    <row r="111" spans="1:7" x14ac:dyDescent="0.3">
      <c r="F111" s="19" t="s">
        <v>26</v>
      </c>
      <c r="G111" s="20">
        <f>(G117/C106)*G118*G108</f>
        <v>0.61104000049164831</v>
      </c>
    </row>
    <row r="115" spans="1:7" x14ac:dyDescent="0.3">
      <c r="A115" s="32" t="s">
        <v>12</v>
      </c>
      <c r="B115" s="33"/>
    </row>
    <row r="116" spans="1:7" x14ac:dyDescent="0.3">
      <c r="A116" s="10" t="s">
        <v>13</v>
      </c>
      <c r="B116" s="11" t="s">
        <v>14</v>
      </c>
      <c r="F116" s="34" t="s">
        <v>27</v>
      </c>
      <c r="G116" s="35"/>
    </row>
    <row r="117" spans="1:7" x14ac:dyDescent="0.3">
      <c r="A117" s="12" t="s">
        <v>15</v>
      </c>
      <c r="B117" s="25">
        <f>C106-G110</f>
        <v>5.3043436309962999E-9</v>
      </c>
      <c r="F117" s="21" t="s">
        <v>28</v>
      </c>
      <c r="G117" s="22">
        <v>322.18543013540386</v>
      </c>
    </row>
    <row r="118" spans="1:7" x14ac:dyDescent="0.3">
      <c r="A118" s="12" t="s">
        <v>16</v>
      </c>
      <c r="B118" s="25">
        <f>C107-G111</f>
        <v>-4.916482776451403E-10</v>
      </c>
      <c r="F118" s="21" t="s">
        <v>29</v>
      </c>
      <c r="G118" s="22">
        <v>0.44555465076752787</v>
      </c>
    </row>
    <row r="119" spans="1:7" x14ac:dyDescent="0.3">
      <c r="A119" s="12" t="s">
        <v>17</v>
      </c>
      <c r="B119" s="25">
        <f>(B117^2)+(B118^2)</f>
        <v>2.8377779384602444E-17</v>
      </c>
      <c r="F119" s="21" t="s">
        <v>30</v>
      </c>
      <c r="G119" s="22">
        <f>G107</f>
        <v>2.7031485040844974</v>
      </c>
    </row>
    <row r="120" spans="1:7" x14ac:dyDescent="0.3">
      <c r="A120" s="13" t="s">
        <v>18</v>
      </c>
      <c r="B120" s="26" t="str">
        <f>IF(B119&lt;0.01,"YES","NO")</f>
        <v>YES</v>
      </c>
      <c r="F120" s="23" t="s">
        <v>31</v>
      </c>
      <c r="G120" s="28">
        <f>NORMSDIST(-G107)</f>
        <v>3.4343025665130688E-3</v>
      </c>
    </row>
    <row r="124" spans="1:7" x14ac:dyDescent="0.3">
      <c r="A124" s="14" t="s">
        <v>0</v>
      </c>
      <c r="B124" s="29" t="s">
        <v>65</v>
      </c>
    </row>
    <row r="125" spans="1:7" x14ac:dyDescent="0.3">
      <c r="A125" s="14" t="s">
        <v>1</v>
      </c>
      <c r="B125" s="29">
        <v>2024</v>
      </c>
    </row>
    <row r="126" spans="1:7" x14ac:dyDescent="0.3">
      <c r="A126" s="14" t="s">
        <v>2</v>
      </c>
      <c r="B126" s="29" t="s">
        <v>55</v>
      </c>
    </row>
    <row r="128" spans="1:7" x14ac:dyDescent="0.3">
      <c r="A128" s="36" t="s">
        <v>11</v>
      </c>
      <c r="B128" s="37"/>
      <c r="C128" s="38"/>
      <c r="F128" s="39" t="s">
        <v>19</v>
      </c>
      <c r="G128" s="40"/>
    </row>
    <row r="129" spans="1:7" x14ac:dyDescent="0.3">
      <c r="A129" s="7" t="s">
        <v>8</v>
      </c>
      <c r="B129" s="8" t="s">
        <v>9</v>
      </c>
      <c r="C129" s="9" t="s">
        <v>10</v>
      </c>
      <c r="F129" s="15" t="s">
        <v>20</v>
      </c>
      <c r="G129" s="16" t="s">
        <v>10</v>
      </c>
    </row>
    <row r="130" spans="1:7" x14ac:dyDescent="0.3">
      <c r="A130" s="5" t="s">
        <v>3</v>
      </c>
      <c r="B130" s="1"/>
      <c r="C130" s="2">
        <f>_xll.ciqfunctions.udf.CIQ("NYSE:BABA", "IQ_MARKETCAP", "23/05/2024", "USD")/1000</f>
        <v>195.38940246000001</v>
      </c>
      <c r="F130" s="17" t="s">
        <v>21</v>
      </c>
      <c r="G130" s="27">
        <f>(LN(G141/C132)+((C133+(0.5*(G142^2)))*C134))/(G142*SQRT(C134))</f>
        <v>4.9976510076776055</v>
      </c>
    </row>
    <row r="131" spans="1:7" x14ac:dyDescent="0.3">
      <c r="A131" s="5" t="s">
        <v>4</v>
      </c>
      <c r="B131" s="1"/>
      <c r="C131" s="2">
        <f>_xll.ciqfunctions.udf.CIQ("NYSE:BABA", "IQ_PRICE_VOL_HIST_YR", "31/03/2024")/100</f>
        <v>0.34932699999999994</v>
      </c>
      <c r="F131" s="17" t="s">
        <v>22</v>
      </c>
      <c r="G131" s="27">
        <f>G130-(G142*SQRT(C134))</f>
        <v>4.7556461807616897</v>
      </c>
    </row>
    <row r="132" spans="1:7" x14ac:dyDescent="0.3">
      <c r="A132" s="5" t="s">
        <v>5</v>
      </c>
      <c r="B132" s="1"/>
      <c r="C132" s="2">
        <f>_xll.ciqfunctions.udf.CIQ("NYSE:BABA", "IQ_TOTAL_LIAB", "FY2024", , , , "USD")/1000</f>
        <v>90.330309479999997</v>
      </c>
      <c r="F132" s="17" t="s">
        <v>23</v>
      </c>
      <c r="G132" s="18">
        <f>NORMSDIST(G130)</f>
        <v>0.99999970983554964</v>
      </c>
    </row>
    <row r="133" spans="1:7" x14ac:dyDescent="0.3">
      <c r="A133" s="5" t="s">
        <v>6</v>
      </c>
      <c r="B133" s="1"/>
      <c r="C133" s="24">
        <v>4.1599999999999998E-2</v>
      </c>
      <c r="F133" s="17" t="s">
        <v>24</v>
      </c>
      <c r="G133" s="18">
        <f>NORMSDIST(G131)</f>
        <v>0.99999901093669696</v>
      </c>
    </row>
    <row r="134" spans="1:7" x14ac:dyDescent="0.3">
      <c r="A134" s="6" t="s">
        <v>7</v>
      </c>
      <c r="B134" s="3"/>
      <c r="C134" s="4">
        <v>1</v>
      </c>
      <c r="F134" s="17" t="s">
        <v>25</v>
      </c>
      <c r="G134" s="18">
        <f>(G141*G132)-(C132*G133*(EXP(-C133*C134)))</f>
        <v>195.38940246011853</v>
      </c>
    </row>
    <row r="135" spans="1:7" x14ac:dyDescent="0.3">
      <c r="F135" s="19" t="s">
        <v>26</v>
      </c>
      <c r="G135" s="20">
        <f>(G141/C130)*G142*G132</f>
        <v>0.34932699603614453</v>
      </c>
    </row>
    <row r="139" spans="1:7" x14ac:dyDescent="0.3">
      <c r="A139" s="32" t="s">
        <v>12</v>
      </c>
      <c r="B139" s="33"/>
    </row>
    <row r="140" spans="1:7" x14ac:dyDescent="0.3">
      <c r="A140" s="10" t="s">
        <v>13</v>
      </c>
      <c r="B140" s="11" t="s">
        <v>14</v>
      </c>
      <c r="F140" s="34" t="s">
        <v>27</v>
      </c>
      <c r="G140" s="35"/>
    </row>
    <row r="141" spans="1:7" x14ac:dyDescent="0.3">
      <c r="A141" s="12" t="s">
        <v>15</v>
      </c>
      <c r="B141" s="25">
        <f>C130-G134</f>
        <v>-1.1851852832478471E-10</v>
      </c>
      <c r="F141" s="21" t="s">
        <v>28</v>
      </c>
      <c r="G141" s="22">
        <v>282.0390555576987</v>
      </c>
    </row>
    <row r="142" spans="1:7" x14ac:dyDescent="0.3">
      <c r="A142" s="12" t="s">
        <v>16</v>
      </c>
      <c r="B142" s="25">
        <f>C131-G135</f>
        <v>3.9638554105714263E-9</v>
      </c>
      <c r="F142" s="21" t="s">
        <v>29</v>
      </c>
      <c r="G142" s="22">
        <v>0.24200482691591613</v>
      </c>
    </row>
    <row r="143" spans="1:7" x14ac:dyDescent="0.3">
      <c r="A143" s="12" t="s">
        <v>17</v>
      </c>
      <c r="B143" s="25">
        <f>(B141^2)+(B142^2)</f>
        <v>1.5726196357472644E-17</v>
      </c>
      <c r="F143" s="21" t="s">
        <v>30</v>
      </c>
      <c r="G143" s="22">
        <f>G131</f>
        <v>4.7556461807616897</v>
      </c>
    </row>
    <row r="144" spans="1:7" x14ac:dyDescent="0.3">
      <c r="A144" s="13" t="s">
        <v>18</v>
      </c>
      <c r="B144" s="26" t="str">
        <f>IF(B143&lt;0.01,"YES","NO")</f>
        <v>YES</v>
      </c>
      <c r="F144" s="23" t="s">
        <v>31</v>
      </c>
      <c r="G144" s="28">
        <f>NORMSDIST(-G131)</f>
        <v>9.8906330303971733E-7</v>
      </c>
    </row>
  </sheetData>
  <mergeCells count="25">
    <mergeCell ref="F44:G44"/>
    <mergeCell ref="A56:C56"/>
    <mergeCell ref="F56:G56"/>
    <mergeCell ref="A67:B67"/>
    <mergeCell ref="A19:B19"/>
    <mergeCell ref="F20:G20"/>
    <mergeCell ref="A32:C32"/>
    <mergeCell ref="F32:G32"/>
    <mergeCell ref="A43:B43"/>
    <mergeCell ref="F1:H1"/>
    <mergeCell ref="F140:G140"/>
    <mergeCell ref="A80:C80"/>
    <mergeCell ref="F80:G80"/>
    <mergeCell ref="A91:B91"/>
    <mergeCell ref="F92:G92"/>
    <mergeCell ref="A104:C104"/>
    <mergeCell ref="F104:G104"/>
    <mergeCell ref="A115:B115"/>
    <mergeCell ref="F116:G116"/>
    <mergeCell ref="A128:C128"/>
    <mergeCell ref="F128:G128"/>
    <mergeCell ref="A139:B139"/>
    <mergeCell ref="F68:G68"/>
    <mergeCell ref="A8:C8"/>
    <mergeCell ref="F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OLVE">
                <anchor moveWithCells="1">
                  <from>
                    <xdr:col>5</xdr:col>
                    <xdr:colOff>441960</xdr:colOff>
                    <xdr:row>4</xdr:row>
                    <xdr:rowOff>129540</xdr:rowOff>
                  </from>
                  <to>
                    <xdr:col>5</xdr:col>
                    <xdr:colOff>929640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SET">
                <anchor moveWithCells="1">
                  <from>
                    <xdr:col>6</xdr:col>
                    <xdr:colOff>53340</xdr:colOff>
                    <xdr:row>4</xdr:row>
                    <xdr:rowOff>121920</xdr:rowOff>
                  </from>
                  <to>
                    <xdr:col>6</xdr:col>
                    <xdr:colOff>541020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2C544-7708-436A-B574-8A19768B8AE1}">
  <dimension ref="A1:H144"/>
  <sheetViews>
    <sheetView zoomScale="110" zoomScaleNormal="110" workbookViewId="0">
      <selection activeCell="F1" sqref="F1:H1"/>
    </sheetView>
  </sheetViews>
  <sheetFormatPr defaultRowHeight="14.4" x14ac:dyDescent="0.3"/>
  <cols>
    <col min="1" max="1" width="49.21875" bestFit="1" customWidth="1"/>
    <col min="2" max="2" width="22.33203125" bestFit="1" customWidth="1"/>
    <col min="3" max="3" width="12" bestFit="1" customWidth="1"/>
    <col min="6" max="6" width="20.5546875" bestFit="1" customWidth="1"/>
    <col min="7" max="7" width="12" bestFit="1" customWidth="1"/>
  </cols>
  <sheetData>
    <row r="1" spans="1:8" x14ac:dyDescent="0.3">
      <c r="A1" s="14" t="s">
        <v>0</v>
      </c>
      <c r="B1" s="29" t="s">
        <v>64</v>
      </c>
      <c r="F1" s="31" t="s">
        <v>63</v>
      </c>
      <c r="G1" s="31"/>
      <c r="H1" s="31"/>
    </row>
    <row r="2" spans="1:8" x14ac:dyDescent="0.3">
      <c r="A2" s="14" t="s">
        <v>1</v>
      </c>
      <c r="B2" s="29">
        <v>2019</v>
      </c>
    </row>
    <row r="3" spans="1:8" x14ac:dyDescent="0.3">
      <c r="A3" s="14" t="s">
        <v>2</v>
      </c>
      <c r="B3" s="29" t="s">
        <v>56</v>
      </c>
    </row>
    <row r="8" spans="1:8" x14ac:dyDescent="0.3">
      <c r="A8" s="36" t="s">
        <v>11</v>
      </c>
      <c r="B8" s="37"/>
      <c r="C8" s="38"/>
      <c r="F8" s="39" t="s">
        <v>19</v>
      </c>
      <c r="G8" s="40"/>
    </row>
    <row r="9" spans="1:8" x14ac:dyDescent="0.3">
      <c r="A9" s="7" t="s">
        <v>8</v>
      </c>
      <c r="B9" s="8" t="s">
        <v>9</v>
      </c>
      <c r="C9" s="9" t="s">
        <v>10</v>
      </c>
      <c r="F9" s="15" t="s">
        <v>20</v>
      </c>
      <c r="G9" s="16" t="s">
        <v>10</v>
      </c>
    </row>
    <row r="10" spans="1:8" x14ac:dyDescent="0.3">
      <c r="A10" s="5" t="s">
        <v>3</v>
      </c>
      <c r="B10" s="1" t="s">
        <v>45</v>
      </c>
      <c r="C10" s="2">
        <f>_xll.ciqfunctions.udf.CIQ("ENXTPA:CA", "IQ_MARKETCAP", "23/03/2020", "USD")/1000</f>
        <v>11.60595949</v>
      </c>
      <c r="F10" s="17" t="s">
        <v>21</v>
      </c>
      <c r="G10" s="27">
        <f>(LN(G21/C12)+((C13+(0.5*(G22^2)))*C14))/(G22*SQRT(C14))</f>
        <v>5.639707823772933</v>
      </c>
    </row>
    <row r="11" spans="1:8" x14ac:dyDescent="0.3">
      <c r="A11" s="5" t="s">
        <v>4</v>
      </c>
      <c r="B11" s="1" t="s">
        <v>46</v>
      </c>
      <c r="C11" s="2">
        <f>_xll.ciqfunctions.udf.CIQ("ENXTPA:CA", "IQ_PRICE_VOL_HIST_YR", "31/12/2019")/100</f>
        <v>0.19918500000000003</v>
      </c>
      <c r="F11" s="17" t="s">
        <v>22</v>
      </c>
      <c r="G11" s="27">
        <f>G10-(G22*SQRT(C14))</f>
        <v>5.598820612459491</v>
      </c>
    </row>
    <row r="12" spans="1:8" x14ac:dyDescent="0.3">
      <c r="A12" s="5" t="s">
        <v>5</v>
      </c>
      <c r="B12" s="1" t="s">
        <v>47</v>
      </c>
      <c r="C12" s="2">
        <f>_xll.ciqfunctions.udf.CIQ("ENXTPA:CA", "IQ_TOTAL_LIAB", "FY2019", , , , "USD")/1000</f>
        <v>44.65379866</v>
      </c>
      <c r="F12" s="17" t="s">
        <v>23</v>
      </c>
      <c r="G12" s="18">
        <f>NORMSDIST(G10)</f>
        <v>0.99999999148305252</v>
      </c>
    </row>
    <row r="13" spans="1:8" x14ac:dyDescent="0.3">
      <c r="A13" s="5" t="s">
        <v>6</v>
      </c>
      <c r="B13" s="1" t="s">
        <v>48</v>
      </c>
      <c r="C13" s="24">
        <v>-6.2399999999999999E-3</v>
      </c>
      <c r="F13" s="17" t="s">
        <v>24</v>
      </c>
      <c r="G13" s="18">
        <f>NORMSDIST(G11)</f>
        <v>0.99999998920925137</v>
      </c>
    </row>
    <row r="14" spans="1:8" x14ac:dyDescent="0.3">
      <c r="A14" s="6" t="s">
        <v>7</v>
      </c>
      <c r="B14" s="3"/>
      <c r="C14" s="4">
        <v>1</v>
      </c>
      <c r="F14" s="17" t="s">
        <v>25</v>
      </c>
      <c r="G14" s="18">
        <f>(G21*G12)-(C12*G13*(EXP(-C13*C14)))</f>
        <v>11.605959490008267</v>
      </c>
    </row>
    <row r="15" spans="1:8" x14ac:dyDescent="0.3">
      <c r="F15" s="19" t="s">
        <v>26</v>
      </c>
      <c r="G15" s="20">
        <f>(G21/C10)*G22*G12</f>
        <v>0.19918499820029567</v>
      </c>
    </row>
    <row r="19" spans="1:7" x14ac:dyDescent="0.3">
      <c r="A19" s="32" t="s">
        <v>12</v>
      </c>
      <c r="B19" s="33"/>
    </row>
    <row r="20" spans="1:7" x14ac:dyDescent="0.3">
      <c r="A20" s="10" t="s">
        <v>13</v>
      </c>
      <c r="B20" s="11" t="s">
        <v>14</v>
      </c>
      <c r="F20" s="34" t="s">
        <v>27</v>
      </c>
      <c r="G20" s="35"/>
    </row>
    <row r="21" spans="1:7" x14ac:dyDescent="0.3">
      <c r="A21" s="12" t="s">
        <v>15</v>
      </c>
      <c r="B21" s="25">
        <f>C10-G14</f>
        <v>-8.2671647305687657E-12</v>
      </c>
      <c r="F21" s="21" t="s">
        <v>28</v>
      </c>
      <c r="G21" s="22">
        <v>56.539269017284582</v>
      </c>
    </row>
    <row r="22" spans="1:7" x14ac:dyDescent="0.3">
      <c r="A22" s="12" t="s">
        <v>16</v>
      </c>
      <c r="B22" s="25">
        <f>C11-G15</f>
        <v>1.799704357763332E-9</v>
      </c>
      <c r="F22" s="21" t="s">
        <v>29</v>
      </c>
      <c r="G22" s="22">
        <v>4.0887211313442078E-2</v>
      </c>
    </row>
    <row r="23" spans="1:7" x14ac:dyDescent="0.3">
      <c r="A23" s="12" t="s">
        <v>17</v>
      </c>
      <c r="B23" s="25">
        <f>(B21^2)+(B22^2)</f>
        <v>3.2390041213650098E-18</v>
      </c>
      <c r="F23" s="21" t="s">
        <v>30</v>
      </c>
      <c r="G23" s="22">
        <f>G11</f>
        <v>5.598820612459491</v>
      </c>
    </row>
    <row r="24" spans="1:7" x14ac:dyDescent="0.3">
      <c r="A24" s="13" t="s">
        <v>18</v>
      </c>
      <c r="B24" s="26" t="str">
        <f>IF(B23&lt;0.01,"YES","NO")</f>
        <v>YES</v>
      </c>
      <c r="F24" s="23" t="s">
        <v>31</v>
      </c>
      <c r="G24" s="28">
        <f>NORMSDIST(-G11)</f>
        <v>1.0790748621074507E-8</v>
      </c>
    </row>
    <row r="28" spans="1:7" x14ac:dyDescent="0.3">
      <c r="A28" s="14" t="s">
        <v>0</v>
      </c>
      <c r="B28" s="29" t="s">
        <v>64</v>
      </c>
    </row>
    <row r="29" spans="1:7" x14ac:dyDescent="0.3">
      <c r="A29" s="14" t="s">
        <v>1</v>
      </c>
      <c r="B29" s="29">
        <v>2020</v>
      </c>
    </row>
    <row r="30" spans="1:7" x14ac:dyDescent="0.3">
      <c r="A30" s="14" t="s">
        <v>2</v>
      </c>
      <c r="B30" s="29" t="s">
        <v>57</v>
      </c>
    </row>
    <row r="32" spans="1:7" x14ac:dyDescent="0.3">
      <c r="A32" s="36" t="s">
        <v>11</v>
      </c>
      <c r="B32" s="37"/>
      <c r="C32" s="38"/>
      <c r="F32" s="39" t="s">
        <v>19</v>
      </c>
      <c r="G32" s="40"/>
    </row>
    <row r="33" spans="1:7" x14ac:dyDescent="0.3">
      <c r="A33" s="7" t="s">
        <v>8</v>
      </c>
      <c r="B33" s="8" t="s">
        <v>9</v>
      </c>
      <c r="C33" s="9" t="s">
        <v>10</v>
      </c>
      <c r="F33" s="15" t="s">
        <v>20</v>
      </c>
      <c r="G33" s="16" t="s">
        <v>10</v>
      </c>
    </row>
    <row r="34" spans="1:7" x14ac:dyDescent="0.3">
      <c r="A34" s="5" t="s">
        <v>3</v>
      </c>
      <c r="B34" s="1"/>
      <c r="C34" s="2">
        <f>_xll.ciqfunctions.udf.CIQ("ENXTPA:CA", "IQ_MARKETCAP", "09/04/2021", "USD")/1000</f>
        <v>14.29056989</v>
      </c>
      <c r="F34" s="17" t="s">
        <v>21</v>
      </c>
      <c r="G34" s="27">
        <f>(LN(G45/C36)+((C37+(0.5*(G46^2)))*C38))/(G46*SQRT(C38))</f>
        <v>3.842166025328662</v>
      </c>
    </row>
    <row r="35" spans="1:7" x14ac:dyDescent="0.3">
      <c r="A35" s="5" t="s">
        <v>4</v>
      </c>
      <c r="B35" s="1"/>
      <c r="C35" s="2">
        <f>_xll.ciqfunctions.udf.CIQ("ENXTPA:CA", "IQ_PRICE_VOL_HIST_YR", "31/12/2020")/100</f>
        <v>0.30109999999999998</v>
      </c>
      <c r="F35" s="17" t="s">
        <v>22</v>
      </c>
      <c r="G35" s="27">
        <f>G34-(G46*SQRT(C38))</f>
        <v>3.7688805929258398</v>
      </c>
    </row>
    <row r="36" spans="1:7" x14ac:dyDescent="0.3">
      <c r="A36" s="5" t="s">
        <v>5</v>
      </c>
      <c r="B36" s="1"/>
      <c r="C36" s="2">
        <f>_xll.ciqfunctions.udf.CIQ("ENXTPA:CA", "IQ_TOTAL_LIAB", "FY2020", , , , "USD")/1000</f>
        <v>44.00978593</v>
      </c>
      <c r="F36" s="17" t="s">
        <v>23</v>
      </c>
      <c r="G36" s="18">
        <f>NORMSDIST(G34)</f>
        <v>0.99993902335268836</v>
      </c>
    </row>
    <row r="37" spans="1:7" x14ac:dyDescent="0.3">
      <c r="A37" s="5" t="s">
        <v>6</v>
      </c>
      <c r="B37" s="1"/>
      <c r="C37" s="24">
        <v>-9.4400000000000005E-3</v>
      </c>
      <c r="F37" s="17" t="s">
        <v>24</v>
      </c>
      <c r="G37" s="18">
        <f>NORMSDIST(G35)</f>
        <v>0.99991800934740971</v>
      </c>
    </row>
    <row r="38" spans="1:7" x14ac:dyDescent="0.3">
      <c r="A38" s="6" t="s">
        <v>7</v>
      </c>
      <c r="B38" s="3"/>
      <c r="C38" s="4">
        <v>1</v>
      </c>
      <c r="F38" s="17" t="s">
        <v>25</v>
      </c>
      <c r="G38" s="18">
        <f>(G45*G36)-(C36*G37*(EXP(-C37*C38)))</f>
        <v>14.290569889476672</v>
      </c>
    </row>
    <row r="39" spans="1:7" x14ac:dyDescent="0.3">
      <c r="F39" s="19" t="s">
        <v>26</v>
      </c>
      <c r="G39" s="20">
        <f>(G45/C34)*G46*G36</f>
        <v>0.30110000066060516</v>
      </c>
    </row>
    <row r="43" spans="1:7" x14ac:dyDescent="0.3">
      <c r="A43" s="32" t="s">
        <v>12</v>
      </c>
      <c r="B43" s="33"/>
    </row>
    <row r="44" spans="1:7" x14ac:dyDescent="0.3">
      <c r="A44" s="10" t="s">
        <v>13</v>
      </c>
      <c r="B44" s="11" t="s">
        <v>14</v>
      </c>
      <c r="F44" s="34" t="s">
        <v>27</v>
      </c>
      <c r="G44" s="35"/>
    </row>
    <row r="45" spans="1:7" x14ac:dyDescent="0.3">
      <c r="A45" s="12" t="s">
        <v>15</v>
      </c>
      <c r="B45" s="25">
        <f>C34-G38</f>
        <v>5.2332893574202899E-10</v>
      </c>
      <c r="F45" s="21" t="s">
        <v>28</v>
      </c>
      <c r="G45" s="22">
        <v>58.717713112602318</v>
      </c>
    </row>
    <row r="46" spans="1:7" x14ac:dyDescent="0.3">
      <c r="A46" s="12" t="s">
        <v>16</v>
      </c>
      <c r="B46" s="25">
        <f>C35-G39</f>
        <v>-6.606051816682168E-10</v>
      </c>
      <c r="F46" s="21" t="s">
        <v>29</v>
      </c>
      <c r="G46" s="22">
        <v>7.3285432402822454E-2</v>
      </c>
    </row>
    <row r="47" spans="1:7" x14ac:dyDescent="0.3">
      <c r="A47" s="12" t="s">
        <v>17</v>
      </c>
      <c r="B47" s="25">
        <f>(B45^2)+(B46^2)</f>
        <v>7.1027238103178243E-19</v>
      </c>
      <c r="F47" s="21" t="s">
        <v>30</v>
      </c>
      <c r="G47" s="22">
        <f>G35</f>
        <v>3.7688805929258398</v>
      </c>
    </row>
    <row r="48" spans="1:7" x14ac:dyDescent="0.3">
      <c r="A48" s="13" t="s">
        <v>18</v>
      </c>
      <c r="B48" s="26" t="str">
        <f>IF(B47&lt;0.01,"YES","NO")</f>
        <v>YES</v>
      </c>
      <c r="F48" s="23" t="s">
        <v>31</v>
      </c>
      <c r="G48" s="28">
        <f>NORMSDIST(-G35)</f>
        <v>8.1990652590325358E-5</v>
      </c>
    </row>
    <row r="52" spans="1:7" x14ac:dyDescent="0.3">
      <c r="A52" s="14" t="s">
        <v>0</v>
      </c>
      <c r="B52" s="29" t="s">
        <v>64</v>
      </c>
    </row>
    <row r="53" spans="1:7" x14ac:dyDescent="0.3">
      <c r="A53" s="14" t="s">
        <v>1</v>
      </c>
      <c r="B53" s="29">
        <v>2021</v>
      </c>
    </row>
    <row r="54" spans="1:7" x14ac:dyDescent="0.3">
      <c r="A54" s="14" t="s">
        <v>2</v>
      </c>
      <c r="B54" s="29" t="s">
        <v>58</v>
      </c>
    </row>
    <row r="56" spans="1:7" x14ac:dyDescent="0.3">
      <c r="A56" s="36" t="s">
        <v>11</v>
      </c>
      <c r="B56" s="37"/>
      <c r="C56" s="38"/>
      <c r="F56" s="39" t="s">
        <v>19</v>
      </c>
      <c r="G56" s="40"/>
    </row>
    <row r="57" spans="1:7" x14ac:dyDescent="0.3">
      <c r="A57" s="7" t="s">
        <v>8</v>
      </c>
      <c r="B57" s="8" t="s">
        <v>9</v>
      </c>
      <c r="C57" s="9" t="s">
        <v>10</v>
      </c>
      <c r="F57" s="15" t="s">
        <v>20</v>
      </c>
      <c r="G57" s="16" t="s">
        <v>10</v>
      </c>
    </row>
    <row r="58" spans="1:7" x14ac:dyDescent="0.3">
      <c r="A58" s="5" t="s">
        <v>3</v>
      </c>
      <c r="B58" s="1"/>
      <c r="C58" s="2">
        <f>_xll.ciqfunctions.udf.CIQ("ENXTPA:CA", "IQ_MARKETCAP", "17/03/2022", "USD")/1000</f>
        <v>15.396058269999999</v>
      </c>
      <c r="F58" s="17" t="s">
        <v>21</v>
      </c>
      <c r="G58" s="27">
        <f>(LN(G69/C60)+((C61+(0.5*(G70^2)))*C62))/(G70*SQRT(C62))</f>
        <v>4.2218206666490969</v>
      </c>
    </row>
    <row r="59" spans="1:7" x14ac:dyDescent="0.3">
      <c r="A59" s="5" t="s">
        <v>4</v>
      </c>
      <c r="B59" s="1"/>
      <c r="C59" s="2">
        <f>_xll.ciqfunctions.udf.CIQ("ENXTPA:CA", "IQ_PRICE_VOL_HIST_YR", "31/12/2021")/100</f>
        <v>0.27912700000000001</v>
      </c>
      <c r="F59" s="17" t="s">
        <v>22</v>
      </c>
      <c r="G59" s="27">
        <f>G58-(G70*SQRT(C62))</f>
        <v>4.1456414182455665</v>
      </c>
    </row>
    <row r="60" spans="1:7" x14ac:dyDescent="0.3">
      <c r="A60" s="5" t="s">
        <v>5</v>
      </c>
      <c r="B60" s="1"/>
      <c r="C60" s="2">
        <f>_xll.ciqfunctions.udf.CIQ("ENXTPA:CA", "IQ_TOTAL_LIAB", "FY2021", , , , "USD")/1000</f>
        <v>40.757420689999996</v>
      </c>
      <c r="F60" s="17" t="s">
        <v>23</v>
      </c>
      <c r="G60" s="18">
        <f>NORMSDIST(G58)</f>
        <v>0.99998788315567255</v>
      </c>
    </row>
    <row r="61" spans="1:7" x14ac:dyDescent="0.3">
      <c r="A61" s="5" t="s">
        <v>6</v>
      </c>
      <c r="B61" s="1"/>
      <c r="C61" s="24">
        <v>-6.3499999999999997E-3</v>
      </c>
      <c r="F61" s="17" t="s">
        <v>24</v>
      </c>
      <c r="G61" s="18">
        <f>NORMSDIST(G59)</f>
        <v>0.99998305681103139</v>
      </c>
    </row>
    <row r="62" spans="1:7" x14ac:dyDescent="0.3">
      <c r="A62" s="6" t="s">
        <v>7</v>
      </c>
      <c r="B62" s="3"/>
      <c r="C62" s="4">
        <v>1</v>
      </c>
      <c r="F62" s="17" t="s">
        <v>25</v>
      </c>
      <c r="G62" s="18">
        <f>(G69*G60)-(C60*G61*(EXP(-C61*C62)))</f>
        <v>15.396058270408027</v>
      </c>
    </row>
    <row r="63" spans="1:7" x14ac:dyDescent="0.3">
      <c r="F63" s="19" t="s">
        <v>26</v>
      </c>
      <c r="G63" s="20">
        <f>(G69/C58)*G70*G60</f>
        <v>0.27912699853274053</v>
      </c>
    </row>
    <row r="67" spans="1:7" x14ac:dyDescent="0.3">
      <c r="A67" s="32" t="s">
        <v>64</v>
      </c>
      <c r="B67" s="33"/>
    </row>
    <row r="68" spans="1:7" x14ac:dyDescent="0.3">
      <c r="A68" s="10" t="s">
        <v>13</v>
      </c>
      <c r="B68" s="11" t="s">
        <v>14</v>
      </c>
      <c r="F68" s="34" t="s">
        <v>27</v>
      </c>
      <c r="G68" s="35"/>
    </row>
    <row r="69" spans="1:7" x14ac:dyDescent="0.3">
      <c r="A69" s="12" t="s">
        <v>15</v>
      </c>
      <c r="B69" s="25">
        <f>C58-G62</f>
        <v>-4.0802738965339813E-10</v>
      </c>
      <c r="F69" s="21" t="s">
        <v>28</v>
      </c>
      <c r="G69" s="22">
        <v>56.413100633475942</v>
      </c>
    </row>
    <row r="70" spans="1:7" x14ac:dyDescent="0.3">
      <c r="A70" s="12" t="s">
        <v>16</v>
      </c>
      <c r="B70" s="25">
        <f>C59-G63</f>
        <v>1.4672594805809069E-9</v>
      </c>
      <c r="F70" s="21" t="s">
        <v>29</v>
      </c>
      <c r="G70" s="22">
        <v>7.6179248403530714E-2</v>
      </c>
    </row>
    <row r="71" spans="1:7" x14ac:dyDescent="0.3">
      <c r="A71" s="12" t="s">
        <v>17</v>
      </c>
      <c r="B71" s="25">
        <f>(B69^2)+(B70^2)</f>
        <v>2.3193367340619188E-18</v>
      </c>
      <c r="F71" s="21" t="s">
        <v>30</v>
      </c>
      <c r="G71" s="22">
        <f>G59</f>
        <v>4.1456414182455665</v>
      </c>
    </row>
    <row r="72" spans="1:7" x14ac:dyDescent="0.3">
      <c r="A72" s="13" t="s">
        <v>18</v>
      </c>
      <c r="B72" s="26" t="str">
        <f>IF(B71&lt;0.01,"YES","NO")</f>
        <v>YES</v>
      </c>
      <c r="F72" s="23" t="s">
        <v>31</v>
      </c>
      <c r="G72" s="28">
        <f>NORMSDIST(-G59)</f>
        <v>1.694318896861929E-5</v>
      </c>
    </row>
    <row r="76" spans="1:7" x14ac:dyDescent="0.3">
      <c r="A76" s="14" t="s">
        <v>0</v>
      </c>
      <c r="B76" s="29" t="s">
        <v>64</v>
      </c>
    </row>
    <row r="77" spans="1:7" x14ac:dyDescent="0.3">
      <c r="A77" s="14" t="s">
        <v>1</v>
      </c>
      <c r="B77" s="29">
        <v>2022</v>
      </c>
    </row>
    <row r="78" spans="1:7" x14ac:dyDescent="0.3">
      <c r="A78" s="14" t="s">
        <v>2</v>
      </c>
      <c r="B78" s="29" t="s">
        <v>59</v>
      </c>
    </row>
    <row r="80" spans="1:7" x14ac:dyDescent="0.3">
      <c r="A80" s="36" t="s">
        <v>11</v>
      </c>
      <c r="B80" s="37"/>
      <c r="C80" s="38"/>
      <c r="F80" s="39" t="s">
        <v>19</v>
      </c>
      <c r="G80" s="40"/>
    </row>
    <row r="81" spans="1:7" x14ac:dyDescent="0.3">
      <c r="A81" s="7" t="s">
        <v>8</v>
      </c>
      <c r="B81" s="8" t="s">
        <v>9</v>
      </c>
      <c r="C81" s="9" t="s">
        <v>10</v>
      </c>
      <c r="F81" s="15" t="s">
        <v>20</v>
      </c>
      <c r="G81" s="16" t="s">
        <v>10</v>
      </c>
    </row>
    <row r="82" spans="1:7" x14ac:dyDescent="0.3">
      <c r="A82" s="5" t="s">
        <v>3</v>
      </c>
      <c r="B82" s="1"/>
      <c r="C82" s="2">
        <f>_xll.ciqfunctions.udf.CIQ("ENXTPA:CA", "IQ_MARKETCAP", "07/03/2023", "USD")/1000</f>
        <v>13.976230920000001</v>
      </c>
      <c r="F82" s="17" t="s">
        <v>21</v>
      </c>
      <c r="G82" s="27">
        <f>(LN(G93/C84)+((C85+(0.5*(G94^2)))*C86))/(G94*SQRT(C86))</f>
        <v>3.929430034684307</v>
      </c>
    </row>
    <row r="83" spans="1:7" x14ac:dyDescent="0.3">
      <c r="A83" s="5" t="s">
        <v>4</v>
      </c>
      <c r="B83" s="1"/>
      <c r="C83" s="2">
        <f>_xll.ciqfunctions.udf.CIQ("ENXTPA:CA", "IQ_PRICE_VOL_HIST_YR", "31/12/2022")/100</f>
        <v>0.29280699999999998</v>
      </c>
      <c r="F83" s="17" t="s">
        <v>22</v>
      </c>
      <c r="G83" s="27">
        <f>G82-(G94*SQRT(C86))</f>
        <v>3.860373173827218</v>
      </c>
    </row>
    <row r="84" spans="1:7" x14ac:dyDescent="0.3">
      <c r="A84" s="5" t="s">
        <v>5</v>
      </c>
      <c r="B84" s="1"/>
      <c r="C84" s="2">
        <f>_xll.ciqfunctions.udf.CIQ("ENXTPA:CA", "IQ_TOTAL_LIAB", "FY2022", , , , "USD")/1000</f>
        <v>46.352463380000003</v>
      </c>
      <c r="F84" s="17" t="s">
        <v>23</v>
      </c>
      <c r="G84" s="18">
        <f>NORMSDIST(G82)</f>
        <v>0.99995742627686812</v>
      </c>
    </row>
    <row r="85" spans="1:7" x14ac:dyDescent="0.3">
      <c r="A85" s="5" t="s">
        <v>6</v>
      </c>
      <c r="B85" s="1"/>
      <c r="C85" s="24">
        <v>2.3259999999999999E-2</v>
      </c>
      <c r="F85" s="17" t="s">
        <v>24</v>
      </c>
      <c r="G85" s="18">
        <f>NORMSDIST(G83)</f>
        <v>0.99994339300446511</v>
      </c>
    </row>
    <row r="86" spans="1:7" x14ac:dyDescent="0.3">
      <c r="A86" s="6" t="s">
        <v>7</v>
      </c>
      <c r="B86" s="3"/>
      <c r="C86" s="4">
        <v>1</v>
      </c>
      <c r="F86" s="17" t="s">
        <v>25</v>
      </c>
      <c r="G86" s="18">
        <f>(G93*G84)-(C84*G85*(EXP(-C85*C86)))</f>
        <v>13.976230921203438</v>
      </c>
    </row>
    <row r="87" spans="1:7" x14ac:dyDescent="0.3">
      <c r="F87" s="19" t="s">
        <v>26</v>
      </c>
      <c r="G87" s="20">
        <f>(G93/C82)*G94*G84</f>
        <v>0.29280699791638448</v>
      </c>
    </row>
    <row r="91" spans="1:7" x14ac:dyDescent="0.3">
      <c r="A91" s="32" t="s">
        <v>12</v>
      </c>
      <c r="B91" s="33"/>
    </row>
    <row r="92" spans="1:7" x14ac:dyDescent="0.3">
      <c r="A92" s="10" t="s">
        <v>13</v>
      </c>
      <c r="B92" s="11" t="s">
        <v>14</v>
      </c>
      <c r="F92" s="34" t="s">
        <v>27</v>
      </c>
      <c r="G92" s="35"/>
    </row>
    <row r="93" spans="1:7" x14ac:dyDescent="0.3">
      <c r="A93" s="12" t="s">
        <v>15</v>
      </c>
      <c r="B93" s="25">
        <f>C82-G86</f>
        <v>-1.2034373497726847E-9</v>
      </c>
      <c r="F93" s="21" t="s">
        <v>28</v>
      </c>
      <c r="G93" s="22">
        <v>59.262937825000371</v>
      </c>
    </row>
    <row r="94" spans="1:7" x14ac:dyDescent="0.3">
      <c r="A94" s="12" t="s">
        <v>16</v>
      </c>
      <c r="B94" s="25">
        <f>C83-G87</f>
        <v>2.083615502357361E-9</v>
      </c>
      <c r="F94" s="21" t="s">
        <v>29</v>
      </c>
      <c r="G94" s="22">
        <v>6.9056860857088995E-2</v>
      </c>
    </row>
    <row r="95" spans="1:7" x14ac:dyDescent="0.3">
      <c r="A95" s="12" t="s">
        <v>17</v>
      </c>
      <c r="B95" s="25">
        <f>(B93^2)+(B94^2)</f>
        <v>5.789715016491821E-18</v>
      </c>
      <c r="F95" s="21" t="s">
        <v>30</v>
      </c>
      <c r="G95" s="22">
        <f>G83</f>
        <v>3.860373173827218</v>
      </c>
    </row>
    <row r="96" spans="1:7" x14ac:dyDescent="0.3">
      <c r="A96" s="13" t="s">
        <v>18</v>
      </c>
      <c r="B96" s="26" t="str">
        <f>IF(B95&lt;0.01,"YES","NO")</f>
        <v>YES</v>
      </c>
      <c r="F96" s="23" t="s">
        <v>31</v>
      </c>
      <c r="G96" s="28">
        <f>NORMSDIST(-G83)</f>
        <v>5.6606995534868761E-5</v>
      </c>
    </row>
    <row r="100" spans="1:7" x14ac:dyDescent="0.3">
      <c r="A100" s="14" t="s">
        <v>0</v>
      </c>
      <c r="B100" s="29" t="s">
        <v>64</v>
      </c>
    </row>
    <row r="101" spans="1:7" x14ac:dyDescent="0.3">
      <c r="A101" s="14" t="s">
        <v>1</v>
      </c>
      <c r="B101" s="29">
        <v>2023</v>
      </c>
    </row>
    <row r="102" spans="1:7" x14ac:dyDescent="0.3">
      <c r="A102" s="14" t="s">
        <v>2</v>
      </c>
      <c r="B102" s="29" t="s">
        <v>60</v>
      </c>
    </row>
    <row r="104" spans="1:7" x14ac:dyDescent="0.3">
      <c r="A104" s="36" t="s">
        <v>11</v>
      </c>
      <c r="B104" s="37"/>
      <c r="C104" s="38"/>
      <c r="F104" s="39" t="s">
        <v>19</v>
      </c>
      <c r="G104" s="40"/>
    </row>
    <row r="105" spans="1:7" x14ac:dyDescent="0.3">
      <c r="A105" s="7" t="s">
        <v>8</v>
      </c>
      <c r="B105" s="8" t="s">
        <v>9</v>
      </c>
      <c r="C105" s="9" t="s">
        <v>10</v>
      </c>
      <c r="F105" s="15" t="s">
        <v>20</v>
      </c>
      <c r="G105" s="16" t="s">
        <v>10</v>
      </c>
    </row>
    <row r="106" spans="1:7" x14ac:dyDescent="0.3">
      <c r="A106" s="5" t="s">
        <v>3</v>
      </c>
      <c r="B106" s="1"/>
      <c r="C106" s="2">
        <f>_xll.ciqfunctions.udf.CIQ("ENXTPA:CA", "IQ_MARKETCAP", "04/03/2024", "USD")/1000</f>
        <v>11.58349877</v>
      </c>
      <c r="F106" s="17" t="s">
        <v>21</v>
      </c>
      <c r="G106" s="27">
        <f>(LN(G117/C108)+((C109+(0.5*(G118^2)))*C110))/(G118*SQRT(C110))</f>
        <v>4.6686170518285293</v>
      </c>
    </row>
    <row r="107" spans="1:7" x14ac:dyDescent="0.3">
      <c r="A107" s="5" t="s">
        <v>4</v>
      </c>
      <c r="B107" s="1"/>
      <c r="C107" s="2">
        <f>_xll.ciqfunctions.udf.CIQ("ENXTPA:CA", "IQ_PRICE_VOL_HIST_YR", "31/12/2023")/100</f>
        <v>0.24028099999999999</v>
      </c>
      <c r="F107" s="17" t="s">
        <v>22</v>
      </c>
      <c r="G107" s="27">
        <f>G106-(G118*SQRT(C110))</f>
        <v>4.6204611341087238</v>
      </c>
    </row>
    <row r="108" spans="1:7" x14ac:dyDescent="0.3">
      <c r="A108" s="5" t="s">
        <v>5</v>
      </c>
      <c r="B108" s="1"/>
      <c r="C108" s="2">
        <f>_xll.ciqfunctions.udf.CIQ("ENXTPA:CA", "IQ_TOTAL_LIAB", "FY2023", , , , "USD")/1000</f>
        <v>47.290814619999999</v>
      </c>
      <c r="F108" s="17" t="s">
        <v>23</v>
      </c>
      <c r="G108" s="18">
        <f>NORMSDIST(G106)</f>
        <v>0.99999848383002066</v>
      </c>
    </row>
    <row r="109" spans="1:7" x14ac:dyDescent="0.3">
      <c r="A109" s="5" t="s">
        <v>6</v>
      </c>
      <c r="B109" s="1"/>
      <c r="C109" s="24">
        <v>2.3029999999999998E-2</v>
      </c>
      <c r="F109" s="17" t="s">
        <v>24</v>
      </c>
      <c r="G109" s="18">
        <f>NORMSDIST(G107)</f>
        <v>0.9999980855596583</v>
      </c>
    </row>
    <row r="110" spans="1:7" x14ac:dyDescent="0.3">
      <c r="A110" s="6" t="s">
        <v>7</v>
      </c>
      <c r="B110" s="3"/>
      <c r="C110" s="4">
        <v>1</v>
      </c>
      <c r="F110" s="17" t="s">
        <v>25</v>
      </c>
      <c r="G110" s="18">
        <f>(G117*G108)-(C108*G109*(EXP(-C109*C110)))</f>
        <v>11.583498769977254</v>
      </c>
    </row>
    <row r="111" spans="1:7" x14ac:dyDescent="0.3">
      <c r="F111" s="19" t="s">
        <v>26</v>
      </c>
      <c r="G111" s="20">
        <f>(G117/C106)*G118*G108</f>
        <v>0.24028100094237356</v>
      </c>
    </row>
    <row r="115" spans="1:7" x14ac:dyDescent="0.3">
      <c r="A115" s="32" t="s">
        <v>12</v>
      </c>
      <c r="B115" s="33"/>
    </row>
    <row r="116" spans="1:7" x14ac:dyDescent="0.3">
      <c r="A116" s="10" t="s">
        <v>13</v>
      </c>
      <c r="B116" s="11" t="s">
        <v>14</v>
      </c>
      <c r="F116" s="34" t="s">
        <v>27</v>
      </c>
      <c r="G116" s="35"/>
    </row>
    <row r="117" spans="1:7" x14ac:dyDescent="0.3">
      <c r="A117" s="12" t="s">
        <v>15</v>
      </c>
      <c r="B117" s="25">
        <f>C106-G110</f>
        <v>2.2746249328520207E-11</v>
      </c>
      <c r="F117" s="21" t="s">
        <v>28</v>
      </c>
      <c r="G117" s="22">
        <v>57.797650436632736</v>
      </c>
    </row>
    <row r="118" spans="1:7" x14ac:dyDescent="0.3">
      <c r="A118" s="12" t="s">
        <v>16</v>
      </c>
      <c r="B118" s="25">
        <f>C107-G111</f>
        <v>-9.4237356806914363E-10</v>
      </c>
      <c r="F118" s="21" t="s">
        <v>29</v>
      </c>
      <c r="G118" s="22">
        <v>4.8155917719805853E-2</v>
      </c>
    </row>
    <row r="119" spans="1:7" x14ac:dyDescent="0.3">
      <c r="A119" s="12" t="s">
        <v>17</v>
      </c>
      <c r="B119" s="25">
        <f>(B117^2)+(B118^2)</f>
        <v>8.8858533365388409E-19</v>
      </c>
      <c r="F119" s="21" t="s">
        <v>30</v>
      </c>
      <c r="G119" s="22">
        <f>G107</f>
        <v>4.6204611341087238</v>
      </c>
    </row>
    <row r="120" spans="1:7" x14ac:dyDescent="0.3">
      <c r="A120" s="13" t="s">
        <v>18</v>
      </c>
      <c r="B120" s="26" t="str">
        <f>IF(B119&lt;0.01,"YES","NO")</f>
        <v>YES</v>
      </c>
      <c r="F120" s="23" t="s">
        <v>31</v>
      </c>
      <c r="G120" s="28">
        <f>NORMSDIST(-G107)</f>
        <v>1.9144403416842404E-6</v>
      </c>
    </row>
    <row r="124" spans="1:7" x14ac:dyDescent="0.3">
      <c r="A124" s="14" t="s">
        <v>0</v>
      </c>
      <c r="B124" s="29" t="s">
        <v>64</v>
      </c>
    </row>
    <row r="125" spans="1:7" x14ac:dyDescent="0.3">
      <c r="A125" s="14" t="s">
        <v>1</v>
      </c>
      <c r="B125" s="29">
        <v>2024</v>
      </c>
    </row>
    <row r="126" spans="1:7" x14ac:dyDescent="0.3">
      <c r="A126" s="14" t="s">
        <v>2</v>
      </c>
      <c r="B126" s="29" t="s">
        <v>61</v>
      </c>
    </row>
    <row r="128" spans="1:7" x14ac:dyDescent="0.3">
      <c r="A128" s="36" t="s">
        <v>11</v>
      </c>
      <c r="B128" s="37"/>
      <c r="C128" s="38"/>
      <c r="F128" s="39" t="s">
        <v>19</v>
      </c>
      <c r="G128" s="40"/>
    </row>
    <row r="129" spans="1:7" x14ac:dyDescent="0.3">
      <c r="A129" s="7" t="s">
        <v>8</v>
      </c>
      <c r="B129" s="8" t="s">
        <v>9</v>
      </c>
      <c r="C129" s="9" t="s">
        <v>10</v>
      </c>
      <c r="F129" s="15" t="s">
        <v>20</v>
      </c>
      <c r="G129" s="16" t="s">
        <v>10</v>
      </c>
    </row>
    <row r="130" spans="1:7" x14ac:dyDescent="0.3">
      <c r="A130" s="5" t="s">
        <v>3</v>
      </c>
      <c r="B130" s="1"/>
      <c r="C130" s="2">
        <f>_xll.ciqfunctions.udf.CIQ("ENXTPA:CA", "IQ_MARKETCAP", "19/02/2025", "USD")/1000</f>
        <v>9.2104545600000005</v>
      </c>
      <c r="F130" s="17" t="s">
        <v>21</v>
      </c>
      <c r="G130" s="27">
        <f>(LN(G141/C132)+((C133+(0.5*(G142^2)))*C134))/(G142*SQRT(C134))</f>
        <v>4.6267762299133341</v>
      </c>
    </row>
    <row r="131" spans="1:7" x14ac:dyDescent="0.3">
      <c r="A131" s="5" t="s">
        <v>4</v>
      </c>
      <c r="B131" s="1"/>
      <c r="C131" s="2">
        <f>_xll.ciqfunctions.udf.CIQ("ENXTPA:CA", "IQ_PRICE_VOL_HIST_YR", "31/12/2024")/100</f>
        <v>0.23774999999999999</v>
      </c>
      <c r="F131" s="17" t="s">
        <v>22</v>
      </c>
      <c r="G131" s="27">
        <f>G130-(G142*SQRT(C134))</f>
        <v>4.5866588838402818</v>
      </c>
    </row>
    <row r="132" spans="1:7" x14ac:dyDescent="0.3">
      <c r="A132" s="5" t="s">
        <v>5</v>
      </c>
      <c r="B132" s="1"/>
      <c r="C132" s="2">
        <f>_xll.ciqfunctions.udf.CIQ("ENXTPA:CA", "IQ_TOTAL_LIAB", "FY2024", , , , "USD")/1000</f>
        <v>46.462366719999999</v>
      </c>
      <c r="F132" s="17" t="s">
        <v>23</v>
      </c>
      <c r="G132" s="18">
        <f>NORMSDIST(G130)</f>
        <v>0.99999814299293988</v>
      </c>
    </row>
    <row r="133" spans="1:7" x14ac:dyDescent="0.3">
      <c r="A133" s="5" t="s">
        <v>6</v>
      </c>
      <c r="B133" s="1"/>
      <c r="C133" s="24">
        <v>2.3699999999999999E-2</v>
      </c>
      <c r="F133" s="17" t="s">
        <v>24</v>
      </c>
      <c r="G133" s="18">
        <f>NORMSDIST(G131)</f>
        <v>0.99999774802165065</v>
      </c>
    </row>
    <row r="134" spans="1:7" x14ac:dyDescent="0.3">
      <c r="A134" s="6" t="s">
        <v>7</v>
      </c>
      <c r="B134" s="3"/>
      <c r="C134" s="4">
        <v>1</v>
      </c>
      <c r="F134" s="17" t="s">
        <v>25</v>
      </c>
      <c r="G134" s="18">
        <f>(G141*G132)-(C132*G133*(EXP(-C133*C134)))</f>
        <v>9.2104545600317138</v>
      </c>
    </row>
    <row r="135" spans="1:7" x14ac:dyDescent="0.3">
      <c r="F135" s="19" t="s">
        <v>26</v>
      </c>
      <c r="G135" s="20">
        <f>(G141/C130)*G142*G132</f>
        <v>0.23774999957399082</v>
      </c>
    </row>
    <row r="139" spans="1:7" x14ac:dyDescent="0.3">
      <c r="A139" s="32" t="s">
        <v>12</v>
      </c>
      <c r="B139" s="33"/>
    </row>
    <row r="140" spans="1:7" x14ac:dyDescent="0.3">
      <c r="A140" s="10" t="s">
        <v>13</v>
      </c>
      <c r="B140" s="11" t="s">
        <v>14</v>
      </c>
      <c r="F140" s="34" t="s">
        <v>27</v>
      </c>
      <c r="G140" s="35"/>
    </row>
    <row r="141" spans="1:7" x14ac:dyDescent="0.3">
      <c r="A141" s="12" t="s">
        <v>15</v>
      </c>
      <c r="B141" s="25">
        <f>C130-G134</f>
        <v>-3.1713298653812672E-11</v>
      </c>
      <c r="F141" s="21" t="s">
        <v>28</v>
      </c>
      <c r="G141" s="22">
        <v>54.584608617518086</v>
      </c>
    </row>
    <row r="142" spans="1:7" x14ac:dyDescent="0.3">
      <c r="A142" s="12" t="s">
        <v>16</v>
      </c>
      <c r="B142" s="25">
        <f>C131-G135</f>
        <v>4.2600917238289071E-10</v>
      </c>
      <c r="F142" s="21" t="s">
        <v>29</v>
      </c>
      <c r="G142" s="22">
        <v>4.0117346073052063E-2</v>
      </c>
    </row>
    <row r="143" spans="1:7" x14ac:dyDescent="0.3">
      <c r="A143" s="12" t="s">
        <v>17</v>
      </c>
      <c r="B143" s="25">
        <f>(B141^2)+(B142^2)</f>
        <v>1.8248954826586141E-19</v>
      </c>
      <c r="F143" s="21" t="s">
        <v>30</v>
      </c>
      <c r="G143" s="22">
        <f>G131</f>
        <v>4.5866588838402818</v>
      </c>
    </row>
    <row r="144" spans="1:7" x14ac:dyDescent="0.3">
      <c r="A144" s="13" t="s">
        <v>18</v>
      </c>
      <c r="B144" s="26" t="str">
        <f>IF(B143&lt;0.01,"YES","NO")</f>
        <v>YES</v>
      </c>
      <c r="F144" s="23" t="s">
        <v>31</v>
      </c>
      <c r="G144" s="28">
        <f>NORMSDIST(-G131)</f>
        <v>2.2519783493040225E-6</v>
      </c>
    </row>
  </sheetData>
  <mergeCells count="25">
    <mergeCell ref="F44:G44"/>
    <mergeCell ref="A56:C56"/>
    <mergeCell ref="F56:G56"/>
    <mergeCell ref="A67:B67"/>
    <mergeCell ref="A19:B19"/>
    <mergeCell ref="F20:G20"/>
    <mergeCell ref="A32:C32"/>
    <mergeCell ref="F32:G32"/>
    <mergeCell ref="A43:B43"/>
    <mergeCell ref="F1:H1"/>
    <mergeCell ref="F140:G140"/>
    <mergeCell ref="A80:C80"/>
    <mergeCell ref="F80:G80"/>
    <mergeCell ref="A91:B91"/>
    <mergeCell ref="F92:G92"/>
    <mergeCell ref="A104:C104"/>
    <mergeCell ref="F104:G104"/>
    <mergeCell ref="A115:B115"/>
    <mergeCell ref="F116:G116"/>
    <mergeCell ref="A128:C128"/>
    <mergeCell ref="F128:G128"/>
    <mergeCell ref="A139:B139"/>
    <mergeCell ref="F68:G68"/>
    <mergeCell ref="A8:C8"/>
    <mergeCell ref="F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SOLVE">
                <anchor moveWithCells="1">
                  <from>
                    <xdr:col>5</xdr:col>
                    <xdr:colOff>441960</xdr:colOff>
                    <xdr:row>4</xdr:row>
                    <xdr:rowOff>129540</xdr:rowOff>
                  </from>
                  <to>
                    <xdr:col>5</xdr:col>
                    <xdr:colOff>929640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RESET">
                <anchor moveWithCells="1">
                  <from>
                    <xdr:col>6</xdr:col>
                    <xdr:colOff>53340</xdr:colOff>
                    <xdr:row>4</xdr:row>
                    <xdr:rowOff>121920</xdr:rowOff>
                  </from>
                  <to>
                    <xdr:col>6</xdr:col>
                    <xdr:colOff>541020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6EFD-89CC-41B0-9FEE-329643EC6C4F}">
  <dimension ref="A1:H144"/>
  <sheetViews>
    <sheetView zoomScale="120" zoomScaleNormal="120" workbookViewId="0">
      <selection activeCell="F1" sqref="F1:H1"/>
    </sheetView>
  </sheetViews>
  <sheetFormatPr defaultRowHeight="14.4" x14ac:dyDescent="0.3"/>
  <cols>
    <col min="1" max="1" width="49.21875" bestFit="1" customWidth="1"/>
    <col min="2" max="2" width="22.33203125" bestFit="1" customWidth="1"/>
    <col min="3" max="3" width="12" bestFit="1" customWidth="1"/>
    <col min="6" max="6" width="20.5546875" bestFit="1" customWidth="1"/>
    <col min="7" max="7" width="12" bestFit="1" customWidth="1"/>
  </cols>
  <sheetData>
    <row r="1" spans="1:8" x14ac:dyDescent="0.3">
      <c r="A1" s="14" t="s">
        <v>0</v>
      </c>
      <c r="B1" s="29" t="s">
        <v>62</v>
      </c>
      <c r="F1" s="31" t="s">
        <v>63</v>
      </c>
      <c r="G1" s="31"/>
      <c r="H1" s="31"/>
    </row>
    <row r="2" spans="1:8" x14ac:dyDescent="0.3">
      <c r="A2" s="14" t="s">
        <v>1</v>
      </c>
      <c r="B2" s="29">
        <v>2019</v>
      </c>
    </row>
    <row r="3" spans="1:8" x14ac:dyDescent="0.3">
      <c r="A3" s="14" t="s">
        <v>2</v>
      </c>
      <c r="B3" s="29" t="s">
        <v>56</v>
      </c>
    </row>
    <row r="8" spans="1:8" x14ac:dyDescent="0.3">
      <c r="A8" s="36" t="s">
        <v>11</v>
      </c>
      <c r="B8" s="37"/>
      <c r="C8" s="38"/>
      <c r="F8" s="39" t="s">
        <v>19</v>
      </c>
      <c r="G8" s="40"/>
    </row>
    <row r="9" spans="1:8" x14ac:dyDescent="0.3">
      <c r="A9" s="7" t="s">
        <v>8</v>
      </c>
      <c r="B9" s="8" t="s">
        <v>9</v>
      </c>
      <c r="C9" s="9" t="s">
        <v>10</v>
      </c>
      <c r="F9" s="15" t="s">
        <v>20</v>
      </c>
      <c r="G9" s="16" t="s">
        <v>10</v>
      </c>
    </row>
    <row r="10" spans="1:8" x14ac:dyDescent="0.3">
      <c r="A10" s="5" t="s">
        <v>3</v>
      </c>
      <c r="B10" s="1" t="s">
        <v>45</v>
      </c>
      <c r="C10" s="2">
        <f>_xll.ciqfunctions.udf.CIQ("BOVESPA:MGLU3", "IQ_MARKETCAP", "17/02/2020", "USD")/1000</f>
        <v>22.078491669999998</v>
      </c>
      <c r="F10" s="17" t="s">
        <v>21</v>
      </c>
      <c r="G10" s="27">
        <f>(LN(G21/C12)+((C13+(0.5*(G22^2)))*C14))/(G22*SQRT(C14))</f>
        <v>6.7249749468727948</v>
      </c>
    </row>
    <row r="11" spans="1:8" x14ac:dyDescent="0.3">
      <c r="A11" s="5" t="s">
        <v>4</v>
      </c>
      <c r="B11" s="1" t="s">
        <v>46</v>
      </c>
      <c r="C11" s="2">
        <f>_xll.ciqfunctions.udf.CIQ("BOVESPA:MGLU3", "IQ_PRICE_VOL_HIST_YR", "31/12/2019")/100</f>
        <v>0.37109799999999998</v>
      </c>
      <c r="F11" s="17" t="s">
        <v>22</v>
      </c>
      <c r="G11" s="27">
        <f>G10-(G22*SQRT(C14))</f>
        <v>6.3970338990149056</v>
      </c>
    </row>
    <row r="12" spans="1:8" x14ac:dyDescent="0.3">
      <c r="A12" s="5" t="s">
        <v>5</v>
      </c>
      <c r="B12" s="1" t="s">
        <v>47</v>
      </c>
      <c r="C12" s="2">
        <f>_xll.ciqfunctions.udf.CIQ("BOVESPA:MGLU3", "IQ_TOTAL_LIAB", "FY2019", , , , "USD")/1000</f>
        <v>3.04163001</v>
      </c>
      <c r="F12" s="17" t="s">
        <v>23</v>
      </c>
      <c r="G12" s="18">
        <f>NORMSDIST(G10)</f>
        <v>0.99999999999121891</v>
      </c>
    </row>
    <row r="13" spans="1:8" x14ac:dyDescent="0.3">
      <c r="A13" s="5" t="s">
        <v>6</v>
      </c>
      <c r="B13" s="1" t="s">
        <v>48</v>
      </c>
      <c r="C13" s="24">
        <v>4.5780000000000001E-2</v>
      </c>
      <c r="F13" s="17" t="s">
        <v>24</v>
      </c>
      <c r="G13" s="18">
        <f>NORMSDIST(G11)</f>
        <v>0.99999999992078792</v>
      </c>
    </row>
    <row r="14" spans="1:8" x14ac:dyDescent="0.3">
      <c r="A14" s="6" t="s">
        <v>7</v>
      </c>
      <c r="B14" s="3"/>
      <c r="C14" s="4">
        <v>1</v>
      </c>
      <c r="F14" s="17" t="s">
        <v>25</v>
      </c>
      <c r="G14" s="18">
        <f>(G21*G12)-(C12*G13*(EXP(-C13*C14)))</f>
        <v>22.078491669999995</v>
      </c>
    </row>
    <row r="15" spans="1:8" x14ac:dyDescent="0.3">
      <c r="F15" s="19" t="s">
        <v>26</v>
      </c>
      <c r="G15" s="20">
        <f>(G21/C10)*G22*G12</f>
        <v>0.37109799965299339</v>
      </c>
    </row>
    <row r="19" spans="1:7" x14ac:dyDescent="0.3">
      <c r="A19" s="32" t="s">
        <v>12</v>
      </c>
      <c r="B19" s="33"/>
    </row>
    <row r="20" spans="1:7" x14ac:dyDescent="0.3">
      <c r="A20" s="10" t="s">
        <v>13</v>
      </c>
      <c r="B20" s="11" t="s">
        <v>14</v>
      </c>
      <c r="F20" s="34" t="s">
        <v>27</v>
      </c>
      <c r="G20" s="35"/>
    </row>
    <row r="21" spans="1:7" x14ac:dyDescent="0.3">
      <c r="A21" s="12" t="s">
        <v>15</v>
      </c>
      <c r="B21" s="25">
        <f>C10-G14</f>
        <v>0</v>
      </c>
      <c r="F21" s="21" t="s">
        <v>28</v>
      </c>
      <c r="G21" s="22">
        <v>24.984015107845611</v>
      </c>
    </row>
    <row r="22" spans="1:7" x14ac:dyDescent="0.3">
      <c r="A22" s="12" t="s">
        <v>16</v>
      </c>
      <c r="B22" s="25">
        <f>C11-G15</f>
        <v>3.4700659012898427E-10</v>
      </c>
      <c r="F22" s="21" t="s">
        <v>29</v>
      </c>
      <c r="G22" s="22">
        <v>0.32794104785788913</v>
      </c>
    </row>
    <row r="23" spans="1:7" x14ac:dyDescent="0.3">
      <c r="A23" s="12" t="s">
        <v>17</v>
      </c>
      <c r="B23" s="25">
        <f>(B21^2)+(B22^2)</f>
        <v>1.2041357359294488E-19</v>
      </c>
      <c r="F23" s="21" t="s">
        <v>30</v>
      </c>
      <c r="G23" s="22">
        <f>G11</f>
        <v>6.3970338990149056</v>
      </c>
    </row>
    <row r="24" spans="1:7" x14ac:dyDescent="0.3">
      <c r="A24" s="13" t="s">
        <v>18</v>
      </c>
      <c r="B24" s="26" t="str">
        <f>IF(B23&lt;0.01,"YES","NO")</f>
        <v>YES</v>
      </c>
      <c r="F24" s="23" t="s">
        <v>31</v>
      </c>
      <c r="G24" s="28">
        <f>NORMSDIST(-G11)</f>
        <v>7.9212082983388647E-11</v>
      </c>
    </row>
    <row r="28" spans="1:7" x14ac:dyDescent="0.3">
      <c r="A28" s="14" t="s">
        <v>0</v>
      </c>
      <c r="B28" s="29" t="s">
        <v>62</v>
      </c>
    </row>
    <row r="29" spans="1:7" x14ac:dyDescent="0.3">
      <c r="A29" s="14" t="s">
        <v>1</v>
      </c>
      <c r="B29" s="29">
        <v>2020</v>
      </c>
    </row>
    <row r="30" spans="1:7" x14ac:dyDescent="0.3">
      <c r="A30" s="14" t="s">
        <v>2</v>
      </c>
      <c r="B30" s="29" t="s">
        <v>57</v>
      </c>
    </row>
    <row r="32" spans="1:7" x14ac:dyDescent="0.3">
      <c r="A32" s="36" t="s">
        <v>11</v>
      </c>
      <c r="B32" s="37"/>
      <c r="C32" s="38"/>
      <c r="F32" s="39" t="s">
        <v>19</v>
      </c>
      <c r="G32" s="40"/>
    </row>
    <row r="33" spans="1:7" x14ac:dyDescent="0.3">
      <c r="A33" s="7" t="s">
        <v>8</v>
      </c>
      <c r="B33" s="8" t="s">
        <v>9</v>
      </c>
      <c r="C33" s="9" t="s">
        <v>10</v>
      </c>
      <c r="F33" s="15" t="s">
        <v>20</v>
      </c>
      <c r="G33" s="16" t="s">
        <v>10</v>
      </c>
    </row>
    <row r="34" spans="1:7" x14ac:dyDescent="0.3">
      <c r="A34" s="5" t="s">
        <v>3</v>
      </c>
      <c r="B34" s="1"/>
      <c r="C34" s="2">
        <f>_xll.ciqfunctions.udf.CIQ("BOVESPA:MGLU3", "IQ_MARKETCAP", "08/03/2021", "USD")/1000</f>
        <v>26.121320400000002</v>
      </c>
      <c r="F34" s="17" t="s">
        <v>21</v>
      </c>
      <c r="G34" s="27">
        <f>(LN(G45/C36)+((C37+(0.5*(G46^2)))*C38))/(G46*SQRT(C38))</f>
        <v>4.3860483584086811</v>
      </c>
    </row>
    <row r="35" spans="1:7" x14ac:dyDescent="0.3">
      <c r="A35" s="5" t="s">
        <v>4</v>
      </c>
      <c r="B35" s="1"/>
      <c r="C35" s="2">
        <f>_xll.ciqfunctions.udf.CIQ("BOVESPA:MGLU3", "IQ_PRICE_VOL_HIST_YR", "31/12/2020")/100</f>
        <v>0.60125499999999998</v>
      </c>
      <c r="F35" s="17" t="s">
        <v>22</v>
      </c>
      <c r="G35" s="27">
        <f>G34-(G46*SQRT(C38))</f>
        <v>3.8512294217709817</v>
      </c>
    </row>
    <row r="36" spans="1:7" x14ac:dyDescent="0.3">
      <c r="A36" s="5" t="s">
        <v>5</v>
      </c>
      <c r="B36" s="1"/>
      <c r="C36" s="2">
        <f>_xll.ciqfunctions.udf.CIQ("BOVESPA:MGLU3", "IQ_TOTAL_LIAB", "FY2020", , , , "USD")/1000</f>
        <v>3.3354995000000001</v>
      </c>
      <c r="F36" s="17" t="s">
        <v>23</v>
      </c>
      <c r="G36" s="18">
        <f>NORMSDIST(G34)</f>
        <v>0.99999422857651754</v>
      </c>
    </row>
    <row r="37" spans="1:7" x14ac:dyDescent="0.3">
      <c r="A37" s="5" t="s">
        <v>6</v>
      </c>
      <c r="B37" s="1"/>
      <c r="C37" s="24">
        <v>2.75E-2</v>
      </c>
      <c r="F37" s="17" t="s">
        <v>24</v>
      </c>
      <c r="G37" s="18">
        <f>NORMSDIST(G35)</f>
        <v>0.99994123683329894</v>
      </c>
    </row>
    <row r="38" spans="1:7" x14ac:dyDescent="0.3">
      <c r="A38" s="6" t="s">
        <v>7</v>
      </c>
      <c r="B38" s="3"/>
      <c r="C38" s="4">
        <v>1</v>
      </c>
      <c r="F38" s="17" t="s">
        <v>25</v>
      </c>
      <c r="G38" s="18">
        <f>(G45*G36)-(C36*G37*(EXP(-C37*C38)))</f>
        <v>26.121320399945088</v>
      </c>
    </row>
    <row r="39" spans="1:7" x14ac:dyDescent="0.3">
      <c r="F39" s="19" t="s">
        <v>26</v>
      </c>
      <c r="G39" s="20">
        <f>(G45/C34)*G46*G36</f>
        <v>0.60125500301446888</v>
      </c>
    </row>
    <row r="43" spans="1:7" x14ac:dyDescent="0.3">
      <c r="A43" s="32" t="s">
        <v>12</v>
      </c>
      <c r="B43" s="33"/>
    </row>
    <row r="44" spans="1:7" x14ac:dyDescent="0.3">
      <c r="A44" s="10" t="s">
        <v>13</v>
      </c>
      <c r="B44" s="11" t="s">
        <v>14</v>
      </c>
      <c r="F44" s="34" t="s">
        <v>27</v>
      </c>
      <c r="G44" s="35"/>
    </row>
    <row r="45" spans="1:7" x14ac:dyDescent="0.3">
      <c r="A45" s="12" t="s">
        <v>15</v>
      </c>
      <c r="B45" s="25">
        <f>C34-G38</f>
        <v>5.4914295333219343E-11</v>
      </c>
      <c r="F45" s="21" t="s">
        <v>28</v>
      </c>
      <c r="G45" s="22">
        <v>29.366322214817906</v>
      </c>
    </row>
    <row r="46" spans="1:7" x14ac:dyDescent="0.3">
      <c r="A46" s="12" t="s">
        <v>16</v>
      </c>
      <c r="B46" s="25">
        <f>C35-G39</f>
        <v>-3.014468896722633E-9</v>
      </c>
      <c r="F46" s="21" t="s">
        <v>29</v>
      </c>
      <c r="G46" s="22">
        <v>0.53481893663769953</v>
      </c>
    </row>
    <row r="47" spans="1:7" x14ac:dyDescent="0.3">
      <c r="A47" s="12" t="s">
        <v>17</v>
      </c>
      <c r="B47" s="25">
        <f>(B45^2)+(B46^2)</f>
        <v>9.090038309140112E-18</v>
      </c>
      <c r="F47" s="21" t="s">
        <v>30</v>
      </c>
      <c r="G47" s="22">
        <f>G35</f>
        <v>3.8512294217709817</v>
      </c>
    </row>
    <row r="48" spans="1:7" x14ac:dyDescent="0.3">
      <c r="A48" s="13" t="s">
        <v>18</v>
      </c>
      <c r="B48" s="26" t="str">
        <f>IF(B47&lt;0.01,"YES","NO")</f>
        <v>YES</v>
      </c>
      <c r="F48" s="23" t="s">
        <v>31</v>
      </c>
      <c r="G48" s="28">
        <f>NORMSDIST(-G35)</f>
        <v>5.8763166701106179E-5</v>
      </c>
    </row>
    <row r="52" spans="1:7" x14ac:dyDescent="0.3">
      <c r="A52" s="14" t="s">
        <v>0</v>
      </c>
      <c r="B52" s="29" t="s">
        <v>62</v>
      </c>
    </row>
    <row r="53" spans="1:7" x14ac:dyDescent="0.3">
      <c r="A53" s="14" t="s">
        <v>1</v>
      </c>
      <c r="B53" s="29">
        <v>2021</v>
      </c>
    </row>
    <row r="54" spans="1:7" x14ac:dyDescent="0.3">
      <c r="A54" s="14" t="s">
        <v>2</v>
      </c>
      <c r="B54" s="29" t="s">
        <v>58</v>
      </c>
    </row>
    <row r="56" spans="1:7" x14ac:dyDescent="0.3">
      <c r="A56" s="36" t="s">
        <v>11</v>
      </c>
      <c r="B56" s="37"/>
      <c r="C56" s="38"/>
      <c r="F56" s="39" t="s">
        <v>19</v>
      </c>
      <c r="G56" s="40"/>
    </row>
    <row r="57" spans="1:7" x14ac:dyDescent="0.3">
      <c r="A57" s="7" t="s">
        <v>8</v>
      </c>
      <c r="B57" s="8" t="s">
        <v>9</v>
      </c>
      <c r="C57" s="9" t="s">
        <v>10</v>
      </c>
      <c r="F57" s="15" t="s">
        <v>20</v>
      </c>
      <c r="G57" s="16" t="s">
        <v>10</v>
      </c>
    </row>
    <row r="58" spans="1:7" x14ac:dyDescent="0.3">
      <c r="A58" s="5" t="s">
        <v>3</v>
      </c>
      <c r="B58" s="1"/>
      <c r="C58" s="2">
        <f>_xll.ciqfunctions.udf.CIQ("BOVESPA:MGLU3", "IQ_MARKETCAP", "14/03/2022", "USD")/1000</f>
        <v>6.9713144599999994</v>
      </c>
      <c r="F58" s="17" t="s">
        <v>21</v>
      </c>
      <c r="G58" s="27">
        <f>(LN(G69/C60)+((C61+(0.5*(G70^2)))*C62))/(G70*SQRT(C62))</f>
        <v>3.056233520008746</v>
      </c>
    </row>
    <row r="59" spans="1:7" x14ac:dyDescent="0.3">
      <c r="A59" s="5" t="s">
        <v>4</v>
      </c>
      <c r="B59" s="1"/>
      <c r="C59" s="2">
        <f>_xll.ciqfunctions.udf.CIQ("BOVESPA:MGLU3", "IQ_PRICE_VOL_HIST_YR", "14/03/2022")/100</f>
        <v>0.53661400000000004</v>
      </c>
      <c r="F59" s="17" t="s">
        <v>22</v>
      </c>
      <c r="G59" s="27">
        <f>G58-(G70*SQRT(C62))</f>
        <v>2.7253976158781814</v>
      </c>
    </row>
    <row r="60" spans="1:7" x14ac:dyDescent="0.3">
      <c r="A60" s="5" t="s">
        <v>5</v>
      </c>
      <c r="B60" s="1"/>
      <c r="C60" s="2">
        <f>_xll.ciqfunctions.udf.CIQ("BOVESPA:MGLU3", "IQ_TOTAL_LIAB", "FY2021", , , , "USD")/1000</f>
        <v>4.8680627200000002</v>
      </c>
      <c r="F60" s="17" t="s">
        <v>23</v>
      </c>
      <c r="G60" s="18">
        <f>NORMSDIST(G58)</f>
        <v>0.99887931691608367</v>
      </c>
    </row>
    <row r="61" spans="1:7" x14ac:dyDescent="0.3">
      <c r="A61" s="5" t="s">
        <v>6</v>
      </c>
      <c r="B61" s="1"/>
      <c r="C61" s="24">
        <v>0.1125</v>
      </c>
      <c r="F61" s="17" t="s">
        <v>24</v>
      </c>
      <c r="G61" s="18">
        <f>NORMSDIST(G59)</f>
        <v>0.99678879541108423</v>
      </c>
    </row>
    <row r="62" spans="1:7" x14ac:dyDescent="0.3">
      <c r="A62" s="6" t="s">
        <v>7</v>
      </c>
      <c r="B62" s="3"/>
      <c r="C62" s="4">
        <v>1</v>
      </c>
      <c r="F62" s="17" t="s">
        <v>25</v>
      </c>
      <c r="G62" s="18">
        <f>(G69*G60)-(C60*G61*(EXP(-C61*C62)))</f>
        <v>6.9713144596918708</v>
      </c>
    </row>
    <row r="63" spans="1:7" x14ac:dyDescent="0.3">
      <c r="F63" s="19" t="s">
        <v>26</v>
      </c>
      <c r="G63" s="20">
        <f>(G69/C58)*G70*G60</f>
        <v>0.53661400065412646</v>
      </c>
    </row>
    <row r="67" spans="1:7" x14ac:dyDescent="0.3">
      <c r="A67" s="32" t="s">
        <v>12</v>
      </c>
      <c r="B67" s="33"/>
    </row>
    <row r="68" spans="1:7" x14ac:dyDescent="0.3">
      <c r="A68" s="10" t="s">
        <v>13</v>
      </c>
      <c r="B68" s="11" t="s">
        <v>14</v>
      </c>
      <c r="F68" s="34" t="s">
        <v>27</v>
      </c>
      <c r="G68" s="35"/>
    </row>
    <row r="69" spans="1:7" x14ac:dyDescent="0.3">
      <c r="A69" s="12" t="s">
        <v>15</v>
      </c>
      <c r="B69" s="25">
        <f>C58-G62</f>
        <v>3.0812863371920685E-10</v>
      </c>
      <c r="F69" s="21" t="s">
        <v>28</v>
      </c>
      <c r="G69" s="22">
        <v>11.32011963609591</v>
      </c>
    </row>
    <row r="70" spans="1:7" x14ac:dyDescent="0.3">
      <c r="A70" s="12" t="s">
        <v>16</v>
      </c>
      <c r="B70" s="25">
        <f>C59-G63</f>
        <v>-6.5412641969686547E-10</v>
      </c>
      <c r="F70" s="21" t="s">
        <v>29</v>
      </c>
      <c r="G70" s="22">
        <v>0.33083590413056452</v>
      </c>
    </row>
    <row r="71" spans="1:7" x14ac:dyDescent="0.3">
      <c r="A71" s="12" t="s">
        <v>17</v>
      </c>
      <c r="B71" s="25">
        <f>(B69^2)+(B70^2)</f>
        <v>5.2282462786310492E-19</v>
      </c>
      <c r="F71" s="21" t="s">
        <v>30</v>
      </c>
      <c r="G71" s="22">
        <f>G59</f>
        <v>2.7253976158781814</v>
      </c>
    </row>
    <row r="72" spans="1:7" x14ac:dyDescent="0.3">
      <c r="A72" s="13" t="s">
        <v>18</v>
      </c>
      <c r="B72" s="26" t="str">
        <f>IF(B71&lt;0.01,"YES","NO")</f>
        <v>YES</v>
      </c>
      <c r="F72" s="23" t="s">
        <v>31</v>
      </c>
      <c r="G72" s="28">
        <f>NORMSDIST(-G59)</f>
        <v>3.2112045889157643E-3</v>
      </c>
    </row>
    <row r="76" spans="1:7" x14ac:dyDescent="0.3">
      <c r="A76" s="14" t="s">
        <v>0</v>
      </c>
      <c r="B76" s="29" t="s">
        <v>62</v>
      </c>
    </row>
    <row r="77" spans="1:7" x14ac:dyDescent="0.3">
      <c r="A77" s="14" t="s">
        <v>1</v>
      </c>
      <c r="B77" s="29">
        <v>2022</v>
      </c>
    </row>
    <row r="78" spans="1:7" x14ac:dyDescent="0.3">
      <c r="A78" s="14" t="s">
        <v>2</v>
      </c>
      <c r="B78" s="29" t="s">
        <v>59</v>
      </c>
    </row>
    <row r="80" spans="1:7" x14ac:dyDescent="0.3">
      <c r="A80" s="36" t="s">
        <v>11</v>
      </c>
      <c r="B80" s="37"/>
      <c r="C80" s="38"/>
      <c r="F80" s="39" t="s">
        <v>19</v>
      </c>
      <c r="G80" s="40"/>
    </row>
    <row r="81" spans="1:7" x14ac:dyDescent="0.3">
      <c r="A81" s="7" t="s">
        <v>8</v>
      </c>
      <c r="B81" s="8" t="s">
        <v>9</v>
      </c>
      <c r="C81" s="9" t="s">
        <v>10</v>
      </c>
      <c r="F81" s="15" t="s">
        <v>20</v>
      </c>
      <c r="G81" s="16" t="s">
        <v>10</v>
      </c>
    </row>
    <row r="82" spans="1:7" x14ac:dyDescent="0.3">
      <c r="A82" s="5" t="s">
        <v>3</v>
      </c>
      <c r="B82" s="1"/>
      <c r="C82" s="2">
        <f>_xll.ciqfunctions.udf.CIQ("BOVESPA:MGLU3", "IQ_MARKETCAP", "21/03/2023", "USD")/1000</f>
        <v>4.7133035300000001</v>
      </c>
      <c r="F82" s="17" t="s">
        <v>21</v>
      </c>
      <c r="G82" s="27">
        <f>(LN(G93/C84)+((C85+(0.5*(G94^2)))*C86))/(G94*SQRT(C86))</f>
        <v>1.7734674144308125</v>
      </c>
    </row>
    <row r="83" spans="1:7" x14ac:dyDescent="0.3">
      <c r="A83" s="5" t="s">
        <v>4</v>
      </c>
      <c r="B83" s="1"/>
      <c r="C83" s="2">
        <f>_xll.ciqfunctions.udf.CIQ("BOVESPA:MGLU3", "IQ_PRICE_VOL_HIST_YR", "31/12/2022")/100</f>
        <v>0.85875600000000007</v>
      </c>
      <c r="F83" s="17" t="s">
        <v>22</v>
      </c>
      <c r="G83" s="27">
        <f>G82-(G94*SQRT(C86))</f>
        <v>1.3102095885919118</v>
      </c>
    </row>
    <row r="84" spans="1:7" x14ac:dyDescent="0.3">
      <c r="A84" s="5" t="s">
        <v>5</v>
      </c>
      <c r="B84" s="1"/>
      <c r="C84" s="2">
        <f>_xll.ciqfunctions.udf.CIQ("BOVESPA:MGLU3", "IQ_TOTAL_LIAB", "FY2022", , , , "USD")/1000</f>
        <v>5.1294109799999994</v>
      </c>
      <c r="F84" s="17" t="s">
        <v>23</v>
      </c>
      <c r="G84" s="18">
        <f>NORMSDIST(G82)</f>
        <v>0.96192435660036979</v>
      </c>
    </row>
    <row r="85" spans="1:7" x14ac:dyDescent="0.3">
      <c r="A85" s="5" t="s">
        <v>6</v>
      </c>
      <c r="B85" s="1"/>
      <c r="C85" s="24">
        <v>0.14285</v>
      </c>
      <c r="F85" s="17" t="s">
        <v>24</v>
      </c>
      <c r="G85" s="18">
        <f>NORMSDIST(G83)</f>
        <v>0.90493752856962695</v>
      </c>
    </row>
    <row r="86" spans="1:7" x14ac:dyDescent="0.3">
      <c r="A86" s="6" t="s">
        <v>7</v>
      </c>
      <c r="B86" s="3"/>
      <c r="C86" s="4">
        <v>1</v>
      </c>
      <c r="F86" s="17" t="s">
        <v>25</v>
      </c>
      <c r="G86" s="18">
        <f>(G93*G84)-(C84*G85*(EXP(-C85*C86)))</f>
        <v>4.7133035267489625</v>
      </c>
    </row>
    <row r="87" spans="1:7" x14ac:dyDescent="0.3">
      <c r="F87" s="19" t="s">
        <v>26</v>
      </c>
      <c r="G87" s="20">
        <f>(G93/C82)*G94*G84</f>
        <v>0.85875600210122904</v>
      </c>
    </row>
    <row r="91" spans="1:7" x14ac:dyDescent="0.3">
      <c r="A91" s="32" t="s">
        <v>12</v>
      </c>
      <c r="B91" s="33"/>
    </row>
    <row r="92" spans="1:7" x14ac:dyDescent="0.3">
      <c r="A92" s="10" t="s">
        <v>13</v>
      </c>
      <c r="B92" s="11" t="s">
        <v>14</v>
      </c>
      <c r="F92" s="34" t="s">
        <v>27</v>
      </c>
      <c r="G92" s="35"/>
    </row>
    <row r="93" spans="1:7" x14ac:dyDescent="0.3">
      <c r="A93" s="12" t="s">
        <v>15</v>
      </c>
      <c r="B93" s="25">
        <f>C82-G86</f>
        <v>3.2510376613004155E-9</v>
      </c>
      <c r="F93" s="21" t="s">
        <v>28</v>
      </c>
      <c r="G93" s="22">
        <v>9.0830458816354778</v>
      </c>
    </row>
    <row r="94" spans="1:7" x14ac:dyDescent="0.3">
      <c r="A94" s="12" t="s">
        <v>16</v>
      </c>
      <c r="B94" s="25">
        <f>C83-G87</f>
        <v>-2.1012289685984342E-9</v>
      </c>
      <c r="F94" s="21" t="s">
        <v>29</v>
      </c>
      <c r="G94" s="22">
        <v>0.46325782583890057</v>
      </c>
    </row>
    <row r="95" spans="1:7" x14ac:dyDescent="0.3">
      <c r="A95" s="12" t="s">
        <v>17</v>
      </c>
      <c r="B95" s="25">
        <f>(B93^2)+(B94^2)</f>
        <v>1.4984409053670915E-17</v>
      </c>
      <c r="F95" s="21" t="s">
        <v>30</v>
      </c>
      <c r="G95" s="22">
        <f>G83</f>
        <v>1.3102095885919118</v>
      </c>
    </row>
    <row r="96" spans="1:7" x14ac:dyDescent="0.3">
      <c r="A96" s="13" t="s">
        <v>18</v>
      </c>
      <c r="B96" s="26" t="str">
        <f>IF(B95&lt;0.01,"YES","NO")</f>
        <v>YES</v>
      </c>
      <c r="F96" s="23" t="s">
        <v>31</v>
      </c>
      <c r="G96" s="28">
        <f>NORMSDIST(-G83)</f>
        <v>9.5062471430373066E-2</v>
      </c>
    </row>
    <row r="100" spans="1:7" x14ac:dyDescent="0.3">
      <c r="A100" s="14" t="s">
        <v>0</v>
      </c>
      <c r="B100" s="29" t="s">
        <v>62</v>
      </c>
    </row>
    <row r="101" spans="1:7" x14ac:dyDescent="0.3">
      <c r="A101" s="14" t="s">
        <v>1</v>
      </c>
      <c r="B101" s="29">
        <v>2023</v>
      </c>
    </row>
    <row r="102" spans="1:7" x14ac:dyDescent="0.3">
      <c r="A102" s="14" t="s">
        <v>2</v>
      </c>
      <c r="B102" s="29" t="s">
        <v>60</v>
      </c>
    </row>
    <row r="104" spans="1:7" x14ac:dyDescent="0.3">
      <c r="A104" s="36" t="s">
        <v>11</v>
      </c>
      <c r="B104" s="37"/>
      <c r="C104" s="38"/>
      <c r="F104" s="39" t="s">
        <v>19</v>
      </c>
      <c r="G104" s="40"/>
    </row>
    <row r="105" spans="1:7" x14ac:dyDescent="0.3">
      <c r="A105" s="7" t="s">
        <v>8</v>
      </c>
      <c r="B105" s="8" t="s">
        <v>9</v>
      </c>
      <c r="C105" s="9" t="s">
        <v>10</v>
      </c>
      <c r="F105" s="15" t="s">
        <v>20</v>
      </c>
      <c r="G105" s="16" t="s">
        <v>10</v>
      </c>
    </row>
    <row r="106" spans="1:7" x14ac:dyDescent="0.3">
      <c r="A106" s="5" t="s">
        <v>3</v>
      </c>
      <c r="B106" s="1"/>
      <c r="C106" s="2">
        <f>_xll.ciqfunctions.udf.CIQ("BOVESPA:MGLU3", "IQ_MARKETCAP", "03/04/2024", "USD")/1000</f>
        <v>2.44291495</v>
      </c>
      <c r="F106" s="17" t="s">
        <v>21</v>
      </c>
      <c r="G106" s="27">
        <f>(LN(G117/C108)+((C109+(0.5*(G118^2)))*C110))/(G118*SQRT(C110))</f>
        <v>1.7403116252198878</v>
      </c>
    </row>
    <row r="107" spans="1:7" x14ac:dyDescent="0.3">
      <c r="A107" s="5" t="s">
        <v>4</v>
      </c>
      <c r="B107" s="1"/>
      <c r="C107" s="2">
        <f>_xll.ciqfunctions.udf.CIQ("BOVESPA:MGLU3", "IQ_PRICE_VOL_HIST_YR", "31/12/2023")/100</f>
        <v>0.708426</v>
      </c>
      <c r="F107" s="17" t="s">
        <v>22</v>
      </c>
      <c r="G107" s="27">
        <f>G106-(G118*SQRT(C110))</f>
        <v>1.4953127240575717</v>
      </c>
    </row>
    <row r="108" spans="1:7" x14ac:dyDescent="0.3">
      <c r="A108" s="5" t="s">
        <v>5</v>
      </c>
      <c r="B108" s="1"/>
      <c r="C108" s="2">
        <f>_xll.ciqfunctions.udf.CIQ("BOVESPA:MGLU3", "IQ_TOTAL_LIAB", "FY2023", , , , "USD")/1000</f>
        <v>5.7384195200000008</v>
      </c>
      <c r="F108" s="17" t="s">
        <v>23</v>
      </c>
      <c r="G108" s="18">
        <f>NORMSDIST(G106)</f>
        <v>0.95909784307436619</v>
      </c>
    </row>
    <row r="109" spans="1:7" x14ac:dyDescent="0.3">
      <c r="A109" s="5" t="s">
        <v>6</v>
      </c>
      <c r="B109" s="1"/>
      <c r="C109" s="24">
        <v>0.14680000000000001</v>
      </c>
      <c r="F109" s="17" t="s">
        <v>24</v>
      </c>
      <c r="G109" s="18">
        <f>NORMSDIST(G107)</f>
        <v>0.93258357706488415</v>
      </c>
    </row>
    <row r="110" spans="1:7" x14ac:dyDescent="0.3">
      <c r="A110" s="6" t="s">
        <v>7</v>
      </c>
      <c r="B110" s="3"/>
      <c r="C110" s="4">
        <v>1</v>
      </c>
      <c r="F110" s="17" t="s">
        <v>25</v>
      </c>
      <c r="G110" s="18">
        <f>(G117*G108)-(C108*G109*(EXP(-C109*C110)))</f>
        <v>2.4429149581660301</v>
      </c>
    </row>
    <row r="111" spans="1:7" x14ac:dyDescent="0.3">
      <c r="F111" s="19" t="s">
        <v>26</v>
      </c>
      <c r="G111" s="20">
        <f>(G117/C106)*G118*G108</f>
        <v>0.7084259924127172</v>
      </c>
    </row>
    <row r="115" spans="1:7" x14ac:dyDescent="0.3">
      <c r="A115" s="32" t="s">
        <v>12</v>
      </c>
      <c r="B115" s="33"/>
    </row>
    <row r="116" spans="1:7" x14ac:dyDescent="0.3">
      <c r="A116" s="10" t="s">
        <v>13</v>
      </c>
      <c r="B116" s="11" t="s">
        <v>14</v>
      </c>
      <c r="F116" s="34" t="s">
        <v>27</v>
      </c>
      <c r="G116" s="35"/>
    </row>
    <row r="117" spans="1:7" x14ac:dyDescent="0.3">
      <c r="A117" s="12" t="s">
        <v>15</v>
      </c>
      <c r="B117" s="25">
        <f>C106-G110</f>
        <v>-8.1660300743635617E-9</v>
      </c>
      <c r="F117" s="21" t="s">
        <v>28</v>
      </c>
      <c r="G117" s="22">
        <v>7.3650514272367742</v>
      </c>
    </row>
    <row r="118" spans="1:7" x14ac:dyDescent="0.3">
      <c r="A118" s="12" t="s">
        <v>16</v>
      </c>
      <c r="B118" s="25">
        <f>C107-G111</f>
        <v>7.5872828020351335E-9</v>
      </c>
      <c r="F118" s="21" t="s">
        <v>29</v>
      </c>
      <c r="G118" s="22">
        <v>0.24499890116231621</v>
      </c>
    </row>
    <row r="119" spans="1:7" x14ac:dyDescent="0.3">
      <c r="A119" s="12" t="s">
        <v>17</v>
      </c>
      <c r="B119" s="25">
        <f>(B117^2)+(B118^2)</f>
        <v>1.2425090749346826E-16</v>
      </c>
      <c r="F119" s="21" t="s">
        <v>30</v>
      </c>
      <c r="G119" s="22">
        <f>G107</f>
        <v>1.4953127240575717</v>
      </c>
    </row>
    <row r="120" spans="1:7" x14ac:dyDescent="0.3">
      <c r="A120" s="13" t="s">
        <v>18</v>
      </c>
      <c r="B120" s="26" t="str">
        <f>IF(B119&lt;0.01,"YES","NO")</f>
        <v>YES</v>
      </c>
      <c r="F120" s="23" t="s">
        <v>31</v>
      </c>
      <c r="G120" s="28">
        <f>NORMSDIST(-G107)</f>
        <v>6.7416422935115849E-2</v>
      </c>
    </row>
    <row r="124" spans="1:7" x14ac:dyDescent="0.3">
      <c r="A124" s="14" t="s">
        <v>0</v>
      </c>
      <c r="B124" s="29" t="s">
        <v>62</v>
      </c>
    </row>
    <row r="125" spans="1:7" x14ac:dyDescent="0.3">
      <c r="A125" s="14" t="s">
        <v>1</v>
      </c>
      <c r="B125" s="29">
        <v>2024</v>
      </c>
    </row>
    <row r="126" spans="1:7" x14ac:dyDescent="0.3">
      <c r="A126" s="14" t="s">
        <v>2</v>
      </c>
      <c r="B126" s="29" t="s">
        <v>61</v>
      </c>
    </row>
    <row r="128" spans="1:7" x14ac:dyDescent="0.3">
      <c r="A128" s="36" t="s">
        <v>11</v>
      </c>
      <c r="B128" s="37"/>
      <c r="C128" s="38"/>
      <c r="F128" s="39" t="s">
        <v>19</v>
      </c>
      <c r="G128" s="40"/>
    </row>
    <row r="129" spans="1:7" x14ac:dyDescent="0.3">
      <c r="A129" s="7" t="s">
        <v>8</v>
      </c>
      <c r="B129" s="8" t="s">
        <v>9</v>
      </c>
      <c r="C129" s="9" t="s">
        <v>10</v>
      </c>
      <c r="F129" s="15" t="s">
        <v>20</v>
      </c>
      <c r="G129" s="16" t="s">
        <v>10</v>
      </c>
    </row>
    <row r="130" spans="1:7" x14ac:dyDescent="0.3">
      <c r="A130" s="5" t="s">
        <v>3</v>
      </c>
      <c r="B130" s="1"/>
      <c r="C130" s="2">
        <f>_xll.ciqfunctions.udf.CIQ("BOVESPA:MGLU3", "IQ_MARKETCAP", "31/12/2024", "USD")/1000</f>
        <v>0.77356002999999995</v>
      </c>
      <c r="F130" s="17" t="s">
        <v>21</v>
      </c>
      <c r="G130" s="27">
        <f>(LN(G141/C132)+((C133+(0.5*(G142^2)))*C134))/(G142*SQRT(C134))</f>
        <v>0.86525809790943509</v>
      </c>
    </row>
    <row r="131" spans="1:7" x14ac:dyDescent="0.3">
      <c r="A131" s="5" t="s">
        <v>4</v>
      </c>
      <c r="B131" s="1"/>
      <c r="C131" s="2">
        <f>_xll.ciqfunctions.udf.CIQ("BOVESPA:MGLU3", "IQ_PRICE_VOL_HIST_YR", "31/12/2024")/100</f>
        <v>0.49543900000000002</v>
      </c>
      <c r="F131" s="17" t="s">
        <v>22</v>
      </c>
      <c r="G131" s="27">
        <f>G130-(G142*SQRT(C134))</f>
        <v>0.77702988050523136</v>
      </c>
    </row>
    <row r="132" spans="1:7" x14ac:dyDescent="0.3">
      <c r="A132" s="5" t="s">
        <v>5</v>
      </c>
      <c r="B132" s="1"/>
      <c r="C132" s="2">
        <f>_xll.ciqfunctions.udf.CIQ("BOVESPA:MGLU3", "IQ_TOTAL_LIAB", , , , , "USD")/1000</f>
        <v>4.7402235300000006</v>
      </c>
      <c r="F132" s="17" t="s">
        <v>23</v>
      </c>
      <c r="G132" s="18">
        <f>NORMSDIST(G130)</f>
        <v>0.80655142807751534</v>
      </c>
    </row>
    <row r="133" spans="1:7" x14ac:dyDescent="0.3">
      <c r="A133" s="5" t="s">
        <v>6</v>
      </c>
      <c r="B133" s="1"/>
      <c r="C133" s="24">
        <v>0.14680000000000001</v>
      </c>
      <c r="F133" s="17" t="s">
        <v>24</v>
      </c>
      <c r="G133" s="18">
        <f>NORMSDIST(G131)</f>
        <v>0.78142942927773174</v>
      </c>
    </row>
    <row r="134" spans="1:7" x14ac:dyDescent="0.3">
      <c r="A134" s="6" t="s">
        <v>7</v>
      </c>
      <c r="B134" s="3"/>
      <c r="C134" s="4">
        <v>1</v>
      </c>
      <c r="F134" s="17" t="s">
        <v>25</v>
      </c>
      <c r="G134" s="18">
        <f>(G141*G132)-(C132*G133*(EXP(-C133*C134)))</f>
        <v>0.3508697823824769</v>
      </c>
    </row>
    <row r="135" spans="1:7" x14ac:dyDescent="0.3">
      <c r="F135" s="19" t="s">
        <v>26</v>
      </c>
      <c r="G135" s="20">
        <f>(G141/C130)*G142*G132</f>
        <v>0.40481233426637148</v>
      </c>
    </row>
    <row r="139" spans="1:7" x14ac:dyDescent="0.3">
      <c r="A139" s="32" t="s">
        <v>12</v>
      </c>
      <c r="B139" s="33"/>
    </row>
    <row r="140" spans="1:7" x14ac:dyDescent="0.3">
      <c r="A140" s="10" t="s">
        <v>13</v>
      </c>
      <c r="B140" s="11" t="s">
        <v>14</v>
      </c>
      <c r="F140" s="34" t="s">
        <v>27</v>
      </c>
      <c r="G140" s="35"/>
    </row>
    <row r="141" spans="1:7" x14ac:dyDescent="0.3">
      <c r="A141" s="12" t="s">
        <v>15</v>
      </c>
      <c r="B141" s="25">
        <f>C130-G134</f>
        <v>0.42269024761752305</v>
      </c>
      <c r="F141" s="21" t="s">
        <v>28</v>
      </c>
      <c r="G141" s="22">
        <v>4.4005624540603501</v>
      </c>
    </row>
    <row r="142" spans="1:7" x14ac:dyDescent="0.3">
      <c r="A142" s="12" t="s">
        <v>16</v>
      </c>
      <c r="B142" s="25">
        <f>C131-G135</f>
        <v>9.0626665733628542E-2</v>
      </c>
      <c r="F142" s="21" t="s">
        <v>29</v>
      </c>
      <c r="G142" s="22">
        <v>8.822821740420371E-2</v>
      </c>
    </row>
    <row r="143" spans="1:7" x14ac:dyDescent="0.3">
      <c r="A143" s="12" t="s">
        <v>17</v>
      </c>
      <c r="B143" s="25">
        <f>(B141^2)+(B142^2)</f>
        <v>0.1868802379729578</v>
      </c>
      <c r="F143" s="21" t="s">
        <v>30</v>
      </c>
      <c r="G143" s="22">
        <f>G131</f>
        <v>0.77702988050523136</v>
      </c>
    </row>
    <row r="144" spans="1:7" x14ac:dyDescent="0.3">
      <c r="A144" s="13" t="s">
        <v>18</v>
      </c>
      <c r="B144" s="26" t="str">
        <f>IF(B143&lt;0.01,"YES","NO")</f>
        <v>NO</v>
      </c>
      <c r="F144" s="23" t="s">
        <v>31</v>
      </c>
      <c r="G144" s="28">
        <f>NORMSDIST(-G131)</f>
        <v>0.21857057072226832</v>
      </c>
    </row>
  </sheetData>
  <mergeCells count="25">
    <mergeCell ref="F44:G44"/>
    <mergeCell ref="A56:C56"/>
    <mergeCell ref="F56:G56"/>
    <mergeCell ref="A67:B67"/>
    <mergeCell ref="A19:B19"/>
    <mergeCell ref="F20:G20"/>
    <mergeCell ref="A32:C32"/>
    <mergeCell ref="F32:G32"/>
    <mergeCell ref="A43:B43"/>
    <mergeCell ref="F1:H1"/>
    <mergeCell ref="F140:G140"/>
    <mergeCell ref="A80:C80"/>
    <mergeCell ref="F80:G80"/>
    <mergeCell ref="A91:B91"/>
    <mergeCell ref="F92:G92"/>
    <mergeCell ref="A104:C104"/>
    <mergeCell ref="F104:G104"/>
    <mergeCell ref="A115:B115"/>
    <mergeCell ref="F116:G116"/>
    <mergeCell ref="A128:C128"/>
    <mergeCell ref="F128:G128"/>
    <mergeCell ref="A139:B139"/>
    <mergeCell ref="F68:G68"/>
    <mergeCell ref="A8:C8"/>
    <mergeCell ref="F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0]!SOLVE">
                <anchor moveWithCells="1">
                  <from>
                    <xdr:col>5</xdr:col>
                    <xdr:colOff>441960</xdr:colOff>
                    <xdr:row>4</xdr:row>
                    <xdr:rowOff>129540</xdr:rowOff>
                  </from>
                  <to>
                    <xdr:col>5</xdr:col>
                    <xdr:colOff>929640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RESET">
                <anchor moveWithCells="1">
                  <from>
                    <xdr:col>6</xdr:col>
                    <xdr:colOff>53340</xdr:colOff>
                    <xdr:row>4</xdr:row>
                    <xdr:rowOff>121920</xdr:rowOff>
                  </from>
                  <to>
                    <xdr:col>6</xdr:col>
                    <xdr:colOff>541020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WALMART</vt:lpstr>
      <vt:lpstr>COSTCO</vt:lpstr>
      <vt:lpstr>ALIBABA</vt:lpstr>
      <vt:lpstr>CARREFOUR</vt:lpstr>
      <vt:lpstr>MAGAZINE LUIZA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Yaseer Rahman</dc:creator>
  <cp:lastModifiedBy>Syed Yaseer Rahman</cp:lastModifiedBy>
  <dcterms:created xsi:type="dcterms:W3CDTF">2025-02-28T10:45:21Z</dcterms:created>
  <dcterms:modified xsi:type="dcterms:W3CDTF">2025-09-20T17:33:02Z</dcterms:modified>
</cp:coreProperties>
</file>